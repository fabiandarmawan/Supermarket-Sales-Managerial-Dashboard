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practice\Data Analyst\"/>
    </mc:Choice>
  </mc:AlternateContent>
  <xr:revisionPtr revIDLastSave="0" documentId="8_{AA99F8E0-9E05-4575-9E5D-85EFFAE4FA5D}" xr6:coauthVersionLast="47" xr6:coauthVersionMax="47" xr10:uidLastSave="{00000000-0000-0000-0000-000000000000}"/>
  <bookViews>
    <workbookView xWindow="-120" yWindow="-120" windowWidth="20730" windowHeight="11160" xr2:uid="{0A0D8D68-EFC2-4074-BDCA-85DAF874A3F1}"/>
  </bookViews>
  <sheets>
    <sheet name="Analysis" sheetId="6" r:id="rId1"/>
  </sheets>
  <definedNames>
    <definedName name="Category">OFFSET(#REF!,1,0,COUNT(#REF!))</definedName>
    <definedName name="Category01">OFFSET(Analysis!$AF$1,1,0,COUNT(Analysis!$AG:$AG))</definedName>
    <definedName name="Category01Range">OFFSET(Analysis!$AF$1,1,1,COUNT(Analysis!$AG:$AG))</definedName>
    <definedName name="CategoryRange">OFFSET(#REF!,1,1,COUNT(#REF!))</definedName>
  </definedName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6" l="1" a="1"/>
  <c r="AK3" i="6" s="1"/>
  <c r="AI3" i="6" s="1" a="1"/>
  <c r="AI3" i="6" s="1"/>
  <c r="AJ3" i="6" a="1"/>
  <c r="AJ3" i="6" s="1"/>
  <c r="V3" i="6" a="1"/>
  <c r="V3" i="6" s="1"/>
  <c r="AB1" i="6"/>
  <c r="AC1" i="6" s="1"/>
  <c r="AB3" i="6" s="1" a="1"/>
  <c r="AB3" i="6" s="1"/>
  <c r="X3" i="6" a="1"/>
  <c r="X3" i="6" s="1"/>
  <c r="U3" i="6" s="1" a="1"/>
  <c r="U3" i="6" s="1"/>
  <c r="Y3" i="6" a="1"/>
  <c r="Y3" i="6" s="1"/>
  <c r="W3" i="6" a="1"/>
  <c r="W3" i="6" s="1"/>
  <c r="M4" i="6"/>
  <c r="N4" i="6" s="1"/>
  <c r="M5" i="6"/>
  <c r="N5" i="6" s="1"/>
  <c r="M6" i="6"/>
  <c r="N6" i="6" s="1"/>
  <c r="M7" i="6"/>
  <c r="N7" i="6" s="1"/>
  <c r="M8" i="6"/>
  <c r="N8" i="6" s="1"/>
  <c r="M9" i="6"/>
  <c r="N9" i="6" s="1"/>
  <c r="M10" i="6"/>
  <c r="N10" i="6" s="1"/>
  <c r="M11" i="6"/>
  <c r="N11" i="6" s="1"/>
  <c r="M12" i="6"/>
  <c r="N12" i="6" s="1"/>
  <c r="M13" i="6"/>
  <c r="N13" i="6" s="1"/>
  <c r="M14" i="6"/>
  <c r="N14" i="6" s="1"/>
  <c r="M3" i="6"/>
  <c r="N3" i="6" s="1"/>
  <c r="L4" i="6"/>
  <c r="L5" i="6"/>
  <c r="L6" i="6"/>
  <c r="L7" i="6"/>
  <c r="L8" i="6"/>
  <c r="L9" i="6"/>
  <c r="L10" i="6"/>
  <c r="L11" i="6"/>
  <c r="L12" i="6"/>
  <c r="L13" i="6"/>
  <c r="L14" i="6"/>
  <c r="L3" i="6"/>
  <c r="E5" i="6"/>
  <c r="E4" i="6"/>
  <c r="AJ1" i="6" l="1"/>
  <c r="AK1" i="6"/>
  <c r="AA3" i="6" a="1"/>
  <c r="AA3" i="6" s="1"/>
  <c r="V1" i="6"/>
  <c r="X1" i="6"/>
  <c r="Y1" i="6"/>
  <c r="W1" i="6"/>
  <c r="E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<sst xmlns="http://schemas.openxmlformats.org/spreadsheetml/2006/main" count="147" uniqueCount="82">
  <si>
    <t>PRODUCT</t>
  </si>
  <si>
    <t>UOM</t>
  </si>
  <si>
    <t>Product01</t>
  </si>
  <si>
    <t>Category01</t>
  </si>
  <si>
    <t>Kg</t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</si>
  <si>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</si>
  <si>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</si>
  <si>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</si>
  <si>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</si>
  <si>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</si>
  <si>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</si>
  <si>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</si>
  <si>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</si>
  <si>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</si>
  <si>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Category02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</si>
  <si>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</si>
  <si>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</si>
  <si>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</si>
  <si>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</si>
  <si>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</si>
  <si>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</si>
  <si>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</si>
  <si>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</si>
  <si>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</si>
  <si>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</si>
  <si>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Category03</t>
  </si>
  <si>
    <t>Product21</t>
  </si>
  <si>
    <t>Product22</t>
  </si>
  <si>
    <t>Product23</t>
  </si>
  <si>
    <t>Product24</t>
  </si>
  <si>
    <t>Product25</t>
  </si>
  <si>
    <t>Product26</t>
  </si>
  <si>
    <t>Category04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</si>
  <si>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</si>
  <si>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</si>
  <si>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</si>
  <si>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</si>
  <si>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</si>
  <si>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</si>
  <si>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</si>
  <si>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</si>
  <si>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</si>
  <si>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</si>
  <si>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</si>
  <si>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Category05</t>
  </si>
  <si>
    <t>Product38</t>
  </si>
  <si>
    <t>Product39</t>
  </si>
  <si>
    <t>Product40</t>
  </si>
  <si>
    <t>Product41</t>
  </si>
  <si>
    <t>Product42</t>
  </si>
  <si>
    <t>Product43</t>
  </si>
  <si>
    <t>Product44</t>
  </si>
  <si>
    <t>Wholesaler</t>
  </si>
  <si>
    <t>Online</t>
  </si>
  <si>
    <t>Cash</t>
  </si>
  <si>
    <t>Direct Sales</t>
  </si>
  <si>
    <t>Lt</t>
  </si>
  <si>
    <t>Ft</t>
  </si>
  <si>
    <t>No.</t>
  </si>
  <si>
    <t>Row Labels</t>
  </si>
  <si>
    <t>Sum of TOTAL SELLING VALUE</t>
  </si>
  <si>
    <t>Sum of TOTAL BUYING 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</si>
  <si>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</si>
  <si>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</si>
  <si>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</si>
  <si>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</si>
  <si>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</si>
  <si>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</si>
  <si>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</si>
  <si>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</si>
  <si>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</si>
  <si>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</si>
  <si>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</si>
  <si>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</si>
  <si>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</si>
  <si>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Total Sales</t>
  </si>
  <si>
    <t>Total Profit</t>
  </si>
  <si>
    <t>Profit %</t>
  </si>
  <si>
    <t>Month</t>
  </si>
  <si>
    <t>Sales</t>
  </si>
  <si>
    <t>Profit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</si>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</sst>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[$$-409]#,##0.00"/>
    <numFmt numFmtId="166" formatCode="[$$-409]#,##0"/>
    <numFmt numFmtId="167" formatCode="_-[$$-409]* #,##0_ ;_-[$$-409]* \-#,##0\ ;_-[$$-409]* &quot;-&quot;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9" fontId="0" fillId="0" borderId="0" xfId="1" applyFont="1"/>
    <xf numFmtId="167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2" fmlaLink="Analysis!$AA$1" max="100" min="1" page="10" val="2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228600</xdr:colOff>
          <xdr:row>12</xdr:row>
          <xdr:rowOff>152400</xdr:rowOff>
        </xdr:from>
        <xdr:to>
          <xdr:col>25</xdr:col>
          <xdr:colOff>476250</xdr:colOff>
          <xdr:row>26</xdr:row>
          <xdr:rowOff>180975</xdr:rowOff>
        </xdr:to>
        <xdr:sp macro="" textlink="">
          <xdr:nvSpPr>
            <xdr:cNvPr id="3080" name="Scroll Ba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0.015475694447" createdVersion="8" refreshedVersion="8" minRefreshableVersion="3" recordCount="528" xr:uid="{1C4C0CF2-7B37-452F-82E4-4AA7F891B6DD}">
  <cacheSource type="worksheet">
    <worksheetSource name="InputData"/>
  </cacheSource>
  <cacheFields count="16">
    <cacheField name="DATE" numFmtId="14">
      <sharedItems containsSemiMixedTypes="0" containsNonDate="0" containsDate="1" containsString="0" minDate="2021-01-01T00:00:00" maxDate="2023-01-02T00:00:00"/>
    </cacheField>
    <cacheField name="PRODUCT ID" numFmtId="0">
      <sharedItems count="44">
        <s v="P0024"/>
        <s v="P0038"/>
        <s v="P0013"/>
        <s v="P0004"/>
        <s v="P0035"/>
        <s v="P0031"/>
        <s v="P0003"/>
        <s v="P0025"/>
        <s v="P0037"/>
        <s v="P0014"/>
        <s v="P0042"/>
        <s v="P0044"/>
        <s v="P0023"/>
        <s v="P0034"/>
        <s v="P0020"/>
        <s v="P0006"/>
        <s v="P0001"/>
        <s v="P0040"/>
        <s v="P0032"/>
        <s v="P0029"/>
        <s v="P0010"/>
        <s v="P0016"/>
        <s v="P0022"/>
        <s v="P0043"/>
        <s v="P0005"/>
        <s v="P0008"/>
        <s v="P0027"/>
        <s v="P0015"/>
        <s v="P0030"/>
        <s v="P0002"/>
        <s v="P0018"/>
        <s v="P0011"/>
        <s v="P0021"/>
        <s v="P0028"/>
        <s v="P0039"/>
        <s v="P0012"/>
        <s v="P0007"/>
        <s v="P0009"/>
        <s v="P0033"/>
        <s v="P0017"/>
        <s v="P0019"/>
        <s v="P0041"/>
        <s v="P0026"/>
        <s v="P0036"/>
      </sharedItems>
    </cacheField>
    <cacheField name="QUANTITY" numFmtId="0">
      <sharedItems containsSemiMixedTypes="0" containsString="0" containsNumber="1" containsInteger="1" minValue="1" maxValue="15"/>
    </cacheField>
    <cacheField name="SALE TYPE" numFmtId="0">
      <sharedItems count="3">
        <s v="Wholesaler"/>
        <s v="Online"/>
        <s v="Direct Sales"/>
      </sharedItems>
    </cacheField>
    <cacheField name="PAYMENT MODE" numFmtId="0">
      <sharedItems count="2">
        <s v="Online"/>
        <s v="Cash"/>
      </sharedItems>
    </cacheField>
    <cacheField name="DISCOUNT %" numFmtId="164">
      <sharedItems containsString="0" containsBlank="1" containsNumber="1" containsInteger="1" minValue="0" maxValue="0"/>
    </cacheField>
    <cacheField name="PRODUCT" numFmtId="0">
      <sharedItems count="44">
        <s v="Product24"/>
        <s v="Product38"/>
        <s v="Product13"/>
        <s v="Product04"/>
        <s v="Product35"/>
        <s v="Product31"/>
        <s v="Product03"/>
        <s v="Product25"/>
        <s v="Product37"/>
        <s v="Product14"/>
        <s v="Product42"/>
        <s v="Product44"/>
        <s v="Product23"/>
        <s v="Product34"/>
        <s v="Product20"/>
        <s v="Product06"/>
        <s v="Product01"/>
        <s v="Product40"/>
        <s v="Product32"/>
        <s v="Product29"/>
        <s v="Product10"/>
        <s v="Product16"/>
        <s v="Product22"/>
        <s v="Product43"/>
        <s v="Product05"/>
        <s v="Product08"/>
        <s v="Product27"/>
        <s v="Product15"/>
        <s v="Product30"/>
        <s v="Product02"/>
        <s v="Product18"/>
        <s v="Product11"/>
        <s v="Product21"/>
        <s v="Product28"/>
        <s v="Product39"/>
        <s v="Product12"/>
        <s v="Product07"/>
        <s v="Product09"/>
        <s v="Product33"/>
        <s v="Product17"/>
        <s v="Product19"/>
        <s v="Product41"/>
        <s v="Product26"/>
        <s v="Product36"/>
      </sharedItems>
    </cacheField>
    <cacheField name="CATEGORY" numFmtId="0">
      <sharedItems count="5">
        <s v="Category03"/>
        <s v="Category05"/>
        <s v="Category02"/>
        <s v="Category01"/>
        <s v="Category04"/>
      </sharedItems>
    </cacheField>
    <cacheField name="UOM" numFmtId="0">
      <sharedItems count="4">
        <s v="Ft"/>
        <s v="Kg"/>
        <s v="Lt"/>
        <s v="No."/>
      </sharedItems>
    </cacheField>
    <cacheField name="BUYING PRIZE" numFmtId="165">
      <sharedItems containsSemiMixedTypes="0" containsString="0" containsNumber="1" containsInteger="1" minValue="5" maxValue="150"/>
    </cacheField>
    <cacheField name="SELLING PRICE" numFmtId="165">
      <sharedItems containsSemiMixedTypes="0" containsString="0" containsNumber="1" minValue="6.7" maxValue="210"/>
    </cacheField>
    <cacheField name="TOTAL BUYING VALUE" numFmtId="165">
      <sharedItems containsSemiMixedTypes="0" containsString="0" containsNumber="1" containsInteger="1" minValue="5" maxValue="2250"/>
    </cacheField>
    <cacheField name="TOTAL SELLING VALUE" numFmtId="165">
      <sharedItems containsSemiMixedTypes="0" containsString="0" containsNumber="1" minValue="6.7" maxValue="3150" count="362">
        <n v="1412.64"/>
        <n v="1198.8"/>
        <n v="732.48"/>
        <n v="244.20000000000002"/>
        <n v="80.400000000000006"/>
        <n v="104.16"/>
        <n v="647.52"/>
        <n v="33.32"/>
        <n v="257.28000000000003"/>
        <n v="586.88"/>
        <n v="648"/>
        <n v="1620"/>
        <n v="1067.04"/>
        <n v="448.38"/>
        <n v="40.200000000000003"/>
        <n v="233.2"/>
        <n v="305"/>
        <n v="732.6"/>
        <n v="728.46"/>
        <n v="972"/>
        <n v="349.79999999999995"/>
        <n v="46.9"/>
        <n v="1458.24"/>
        <n v="738.72"/>
        <n v="598.5"/>
        <n v="727.16"/>
        <n v="806.4"/>
        <n v="352.44"/>
        <n v="488.40000000000003"/>
        <n v="106.22"/>
        <n v="1149.96"/>
        <n v="216.32"/>
        <n v="283.14"/>
        <n v="343.04"/>
        <n v="581.55999999999995"/>
        <n v="155.61000000000001"/>
        <n v="747.72"/>
        <n v="6.7"/>
        <n v="816.19999999999993"/>
        <n v="662.34"/>
        <n v="1345.14"/>
        <n v="228.48000000000002"/>
        <n v="94.32"/>
        <n v="2214.08"/>
        <n v="610.4"/>
        <n v="24.990000000000002"/>
        <n v="311.22000000000003"/>
        <n v="571.20000000000005"/>
        <n v="1292.28"/>
        <n v="402.56"/>
        <n v="541.31000000000006"/>
        <n v="48.4"/>
        <n v="1462.86"/>
        <n v="342.72"/>
        <n v="318.65999999999997"/>
        <n v="91.63"/>
        <n v="418.1"/>
        <n v="468.04999999999995"/>
        <n v="1318.38"/>
        <n v="1296"/>
        <n v="376.29"/>
        <n v="991.25"/>
        <n v="297.84999999999997"/>
        <n v="1142.4000000000001"/>
        <n v="376.68"/>
        <n v="2197.44"/>
        <n v="342"/>
        <n v="424.88"/>
        <n v="159.84"/>
        <n v="415.52"/>
        <n v="162"/>
        <n v="1478.52"/>
        <n v="603.84"/>
        <n v="381.84000000000003"/>
        <n v="79.92"/>
        <n v="486"/>
        <n v="460.8"/>
        <n v="70.739999999999995"/>
        <n v="1562.3999999999999"/>
        <n v="466.83000000000004"/>
        <n v="1981.98"/>
        <n v="212.44"/>
        <n v="514.08000000000004"/>
        <n v="1556.1000000000001"/>
        <n v="470.34000000000003"/>
        <n v="738.15"/>
        <n v="719.28"/>
        <n v="2730"/>
        <n v="1408.96"/>
        <n v="53.11"/>
        <n v="147.63"/>
        <n v="174.89999999999998"/>
        <n v="204.35999999999999"/>
        <n v="102.17999999999999"/>
        <n v="1419.3000000000002"/>
        <n v="47.16"/>
        <n v="49.21"/>
        <n v="99.84"/>
        <n v="334.48"/>
        <n v="49.92"/>
        <n v="100.5"/>
        <n v="324"/>
        <n v="1267.2"/>
        <n v="1942.98"/>
        <n v="1625.3999999999999"/>
        <n v="610"/>
        <n v="915"/>
        <n v="2123.5499999999997"/>
        <n v="67"/>
        <n v="718.2"/>
        <n v="459.91"/>
        <n v="537.24"/>
        <n v="1409.76"/>
        <n v="1043.28"/>
        <n v="83.3"/>
        <n v="1050"/>
        <n v="188.64"/>
        <n v="108.29"/>
        <n v="869.4"/>
        <n v="16.64"/>
        <n v="66.56"/>
        <n v="629.19999999999993"/>
        <n v="55.019999999999996"/>
        <n v="1711.71"/>
        <n v="325.08"/>
        <n v="1807.08"/>
        <n v="1077.3"/>
        <n v="2608.1999999999998"/>
        <n v="31.439999999999998"/>
        <n v="210"/>
        <n v="1195.68"/>
        <n v="799.68000000000006"/>
        <n v="879.12"/>
        <n v="415.4"/>
        <n v="796.65"/>
        <n v="73.98"/>
        <n v="674.1"/>
        <n v="686.08"/>
        <n v="1231.2"/>
        <n v="1142.6799999999998"/>
        <n v="1840.4099999999999"/>
        <n v="699.59999999999991"/>
        <n v="585.34"/>
        <n v="85.76"/>
        <n v="622.44000000000005"/>
        <n v="820.8"/>
        <n v="513"/>
        <n v="597.84"/>
        <n v="242.82"/>
        <n v="49.980000000000004"/>
        <n v="1143.75"/>
        <n v="937.43999999999994"/>
        <n v="543.53"/>
        <n v="170.2"/>
        <n v="1587.04"/>
        <n v="207.76"/>
        <n v="73.7"/>
        <n v="156.96"/>
        <n v="1133.1599999999999"/>
        <n v="1391.04"/>
        <n v="292.67"/>
        <n v="2241.9"/>
        <n v="117.48"/>
        <n v="328.32"/>
        <n v="1207.68"/>
        <n v="934.92"/>
        <n v="49.32"/>
        <n v="623.28"/>
        <n v="1217.1599999999999"/>
        <n v="2268"/>
        <n v="533.75"/>
        <n v="230.4"/>
        <n v="590.52"/>
        <n v="1137.78"/>
        <n v="58.3"/>
        <n v="1320.48"/>
        <n v="427.5"/>
        <n v="2817.92"/>
        <n v="2200.8000000000002"/>
        <n v="1890"/>
        <n v="1155.5999999999999"/>
        <n v="147.96"/>
        <n v="399.6"/>
        <n v="93.8"/>
        <n v="726"/>
        <n v="456.96000000000004"/>
        <n v="1350.44"/>
        <n v="2113.02"/>
        <n v="338.8"/>
        <n v="2040.48"/>
        <n v="7.8599999999999994"/>
        <n v="145.19999999999999"/>
        <n v="293.04000000000002"/>
        <n v="94.62"/>
        <n v="1118.8800000000001"/>
        <n v="975.24"/>
        <n v="1464.96"/>
        <n v="963"/>
        <n v="715.95"/>
        <n v="1382.4"/>
        <n v="492.84000000000003"/>
        <n v="1040.8200000000002"/>
        <n v="146.72"/>
        <n v="85.5"/>
        <n v="753.36"/>
        <n v="638.25"/>
        <n v="166.4"/>
        <n v="116.6"/>
        <n v="1680"/>
        <n v="164.28"/>
        <n v="976.64"/>
        <n v="1149.1199999999999"/>
        <n v="161.88"/>
        <n v="1132.56"/>
        <n v="1793.52"/>
        <n v="159.32999999999998"/>
        <n v="484"/>
        <n v="246.6"/>
        <n v="770.4"/>
        <n v="2434.3199999999997"/>
        <n v="743.54"/>
        <n v="2135.64"/>
        <n v="141.57"/>
        <n v="119.7"/>
        <n v="234.96"/>
        <n v="1260"/>
        <n v="677.6"/>
        <n v="1415.6999999999998"/>
        <n v="1613.92"/>
        <n v="851.58"/>
        <n v="1027.04"/>
        <n v="714"/>
        <n v="3019.2"/>
        <n v="2194.92"/>
        <n v="183.04000000000002"/>
        <n v="896.76"/>
        <n v="1564.92"/>
        <n v="1400.4900000000002"/>
        <n v="1173.76"/>
        <n v="295.26"/>
        <n v="856.80000000000007"/>
        <n v="146.52000000000001"/>
        <n v="1644.72"/>
        <n v="197.28"/>
        <n v="125.43"/>
        <n v="1856.4"/>
        <n v="565.02"/>
        <n v="249.60000000000002"/>
        <n v="659.19"/>
        <n v="2334.15"/>
        <n v="1286.4000000000001"/>
        <n v="320.58"/>
        <n v="97.68"/>
        <n v="80.94"/>
        <n v="492.48"/>
        <n v="1436.4"/>
        <n v="33.28"/>
        <n v="420"/>
        <n v="1057.32"/>
        <n v="285.60000000000002"/>
        <n v="428.40000000000003"/>
        <n v="172.62"/>
        <n v="510.59999999999997"/>
        <n v="1285.2"/>
        <n v="232.96"/>
        <n v="98.42"/>
        <n v="345.24"/>
        <n v="439.56000000000006"/>
        <n v="114.24000000000001"/>
        <n v="2054.08"/>
        <n v="524.69999999999993"/>
        <n v="488.32"/>
        <n v="762.5"/>
        <n v="408.09999999999997"/>
        <n v="62.879999999999995"/>
        <n v="57.120000000000005"/>
        <n v="990.99"/>
        <n v="1881.3600000000001"/>
        <n v="470.85"/>
        <n v="1324.68"/>
        <n v="381.25"/>
        <n v="1354.08"/>
        <n v="639.36"/>
        <n v="999.60000000000014"/>
        <n v="83.62"/>
        <n v="1738.8"/>
        <n v="473.1"/>
        <n v="586.08000000000004"/>
        <n v="1067.5"/>
        <n v="359.1"/>
        <n v="553.15"/>
        <n v="2430"/>
        <n v="1152"/>
        <n v="390.72"/>
        <n v="344.47"/>
        <n v="996.96"/>
        <n v="1795.5"/>
        <n v="334.11"/>
        <n v="58.31"/>
        <n v="125.75999999999999"/>
        <n v="347.76"/>
        <n v="501.72"/>
        <n v="1971.3600000000001"/>
        <n v="1197"/>
        <n v="164.16"/>
        <n v="1052.22"/>
        <n v="809.4"/>
        <n v="24.66"/>
        <n v="149.76"/>
        <n v="1787.9399999999998"/>
        <n v="110.03999999999999"/>
        <n v="328.56"/>
        <n v="143.19"/>
        <n v="1675.8"/>
        <n v="902.88"/>
        <n v="778.05000000000007"/>
        <n v="212.75"/>
        <n v="498.48"/>
        <n v="41.65"/>
        <n v="142.80000000000001"/>
        <n v="1867.3200000000002"/>
        <n v="319.68"/>
        <n v="957.6"/>
        <n v="1038.8"/>
        <n v="688.94"/>
        <n v="123.3"/>
        <n v="1130.04"/>
        <n v="939.84"/>
        <n v="385.2"/>
        <n v="239.76"/>
        <n v="757.9"/>
        <n v="242"/>
        <n v="984.96"/>
        <n v="946.2"/>
        <n v="2142"/>
        <n v="157.19999999999999"/>
        <n v="288.89999999999998"/>
        <n v="1412.55"/>
        <n v="235.79999999999998"/>
        <n v="33.5"/>
        <n v="838.75"/>
        <n v="3150"/>
        <n v="1080.04"/>
        <n v="2106"/>
        <n v="1497.6000000000001"/>
        <n v="1059.3"/>
        <n v="2100"/>
        <n v="1254.24"/>
        <n v="466.4"/>
        <n v="457.5"/>
        <n v="587.4"/>
        <n v="874.5"/>
        <n v="833.28"/>
        <n v="209.05"/>
        <n v="959.04"/>
        <n v="1098.72"/>
        <n v="1467.2"/>
        <n v="1811.52"/>
        <n v="574.55999999999995"/>
        <n v="86.46"/>
        <n v="855"/>
        <n v="290.39999999999998"/>
      </sharedItems>
    </cacheField>
    <cacheField name="DAY" numFmtId="0">
      <sharedItems containsSemiMixedTypes="0" containsDate="1" containsString="0" containsMixedTypes="1" minDate="1899-12-31T04:01:03" maxDate="1900-01-01T00:00:00" count="32">
        <n v="1"/>
        <n v="2"/>
        <n v="3"/>
        <n v="4"/>
        <n v="9"/>
        <n v="11"/>
        <n v="12"/>
        <n v="18"/>
        <n v="19"/>
        <n v="20"/>
        <n v="21"/>
        <n v="25"/>
        <n v="26"/>
        <n v="27"/>
        <n v="28"/>
        <n v="5"/>
        <n v="6"/>
        <n v="15"/>
        <n v="22"/>
        <n v="23"/>
        <n v="7"/>
        <n v="8"/>
        <n v="13"/>
        <n v="16"/>
        <n v="30"/>
        <n v="31"/>
        <n v="10"/>
        <n v="24"/>
        <n v="29"/>
        <n v="14"/>
        <n v="17"/>
        <d v="1899-12-31T00:00:00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 pivotCacheId="1633733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d v="2021-01-01T00:00:00"/>
    <x v="0"/>
    <n v="9"/>
    <x v="0"/>
    <x v="0"/>
    <n v="0"/>
    <x v="0"/>
    <x v="0"/>
    <x v="0"/>
    <n v="144"/>
    <n v="156.96"/>
    <n v="1296"/>
    <x v="0"/>
    <x v="0"/>
    <x v="0"/>
    <x v="0"/>
  </r>
  <r>
    <d v="2021-01-02T00:00:00"/>
    <x v="1"/>
    <n v="15"/>
    <x v="1"/>
    <x v="1"/>
    <n v="0"/>
    <x v="1"/>
    <x v="1"/>
    <x v="1"/>
    <n v="72"/>
    <n v="79.92"/>
    <n v="1080"/>
    <x v="1"/>
    <x v="1"/>
    <x v="0"/>
    <x v="0"/>
  </r>
  <r>
    <d v="2021-01-02T00:00:00"/>
    <x v="2"/>
    <n v="6"/>
    <x v="2"/>
    <x v="1"/>
    <n v="0"/>
    <x v="2"/>
    <x v="2"/>
    <x v="1"/>
    <n v="112"/>
    <n v="122.08"/>
    <n v="672"/>
    <x v="2"/>
    <x v="1"/>
    <x v="0"/>
    <x v="0"/>
  </r>
  <r>
    <d v="2021-01-03T00:00:00"/>
    <x v="3"/>
    <n v="5"/>
    <x v="2"/>
    <x v="0"/>
    <n v="0"/>
    <x v="3"/>
    <x v="3"/>
    <x v="2"/>
    <n v="44"/>
    <n v="48.84"/>
    <n v="220"/>
    <x v="3"/>
    <x v="2"/>
    <x v="0"/>
    <x v="0"/>
  </r>
  <r>
    <d v="2021-01-04T00:00:00"/>
    <x v="4"/>
    <n v="12"/>
    <x v="1"/>
    <x v="0"/>
    <n v="0"/>
    <x v="4"/>
    <x v="4"/>
    <x v="3"/>
    <n v="5"/>
    <n v="6.7"/>
    <n v="60"/>
    <x v="4"/>
    <x v="3"/>
    <x v="0"/>
    <x v="0"/>
  </r>
  <r>
    <d v="2021-01-09T00:00:00"/>
    <x v="5"/>
    <n v="1"/>
    <x v="2"/>
    <x v="1"/>
    <n v="0"/>
    <x v="5"/>
    <x v="4"/>
    <x v="1"/>
    <n v="93"/>
    <n v="104.16"/>
    <n v="93"/>
    <x v="5"/>
    <x v="4"/>
    <x v="0"/>
    <x v="0"/>
  </r>
  <r>
    <d v="2021-01-09T00:00:00"/>
    <x v="6"/>
    <n v="8"/>
    <x v="2"/>
    <x v="1"/>
    <n v="0"/>
    <x v="6"/>
    <x v="3"/>
    <x v="1"/>
    <n v="71"/>
    <n v="80.94"/>
    <n v="568"/>
    <x v="6"/>
    <x v="4"/>
    <x v="0"/>
    <x v="0"/>
  </r>
  <r>
    <d v="2021-01-09T00:00:00"/>
    <x v="7"/>
    <n v="4"/>
    <x v="2"/>
    <x v="0"/>
    <n v="0"/>
    <x v="7"/>
    <x v="0"/>
    <x v="3"/>
    <n v="7"/>
    <n v="8.33"/>
    <n v="28"/>
    <x v="7"/>
    <x v="4"/>
    <x v="0"/>
    <x v="0"/>
  </r>
  <r>
    <d v="2021-01-11T00:00:00"/>
    <x v="8"/>
    <n v="3"/>
    <x v="2"/>
    <x v="1"/>
    <n v="0"/>
    <x v="8"/>
    <x v="1"/>
    <x v="1"/>
    <n v="67"/>
    <n v="85.76"/>
    <n v="201"/>
    <x v="8"/>
    <x v="5"/>
    <x v="0"/>
    <x v="0"/>
  </r>
  <r>
    <d v="2021-01-11T00:00:00"/>
    <x v="9"/>
    <n v="4"/>
    <x v="0"/>
    <x v="0"/>
    <n v="0"/>
    <x v="9"/>
    <x v="2"/>
    <x v="1"/>
    <n v="112"/>
    <n v="146.72"/>
    <n v="448"/>
    <x v="9"/>
    <x v="5"/>
    <x v="0"/>
    <x v="0"/>
  </r>
  <r>
    <d v="2021-01-11T00:00:00"/>
    <x v="10"/>
    <n v="4"/>
    <x v="2"/>
    <x v="0"/>
    <n v="0"/>
    <x v="10"/>
    <x v="1"/>
    <x v="0"/>
    <n v="120"/>
    <n v="162"/>
    <n v="480"/>
    <x v="10"/>
    <x v="5"/>
    <x v="0"/>
    <x v="0"/>
  </r>
  <r>
    <d v="2021-01-12T00:00:00"/>
    <x v="10"/>
    <n v="10"/>
    <x v="1"/>
    <x v="1"/>
    <n v="0"/>
    <x v="10"/>
    <x v="1"/>
    <x v="0"/>
    <n v="120"/>
    <n v="162"/>
    <n v="1200"/>
    <x v="11"/>
    <x v="6"/>
    <x v="0"/>
    <x v="0"/>
  </r>
  <r>
    <d v="2021-01-18T00:00:00"/>
    <x v="11"/>
    <n v="13"/>
    <x v="2"/>
    <x v="0"/>
    <n v="0"/>
    <x v="11"/>
    <x v="1"/>
    <x v="1"/>
    <n v="76"/>
    <n v="82.08"/>
    <n v="988"/>
    <x v="12"/>
    <x v="7"/>
    <x v="0"/>
    <x v="0"/>
  </r>
  <r>
    <d v="2021-01-18T00:00:00"/>
    <x v="12"/>
    <n v="3"/>
    <x v="1"/>
    <x v="1"/>
    <n v="0"/>
    <x v="12"/>
    <x v="0"/>
    <x v="0"/>
    <n v="141"/>
    <n v="149.46"/>
    <n v="423"/>
    <x v="13"/>
    <x v="7"/>
    <x v="0"/>
    <x v="0"/>
  </r>
  <r>
    <d v="2021-01-19T00:00:00"/>
    <x v="4"/>
    <n v="6"/>
    <x v="2"/>
    <x v="1"/>
    <n v="0"/>
    <x v="4"/>
    <x v="4"/>
    <x v="3"/>
    <n v="5"/>
    <n v="6.7"/>
    <n v="30"/>
    <x v="14"/>
    <x v="8"/>
    <x v="0"/>
    <x v="0"/>
  </r>
  <r>
    <d v="2021-01-20T00:00:00"/>
    <x v="13"/>
    <n v="4"/>
    <x v="2"/>
    <x v="1"/>
    <n v="0"/>
    <x v="13"/>
    <x v="4"/>
    <x v="2"/>
    <n v="55"/>
    <n v="58.3"/>
    <n v="220"/>
    <x v="15"/>
    <x v="9"/>
    <x v="0"/>
    <x v="0"/>
  </r>
  <r>
    <d v="2021-01-20T00:00:00"/>
    <x v="14"/>
    <n v="4"/>
    <x v="2"/>
    <x v="1"/>
    <n v="0"/>
    <x v="14"/>
    <x v="0"/>
    <x v="2"/>
    <n v="61"/>
    <n v="76.25"/>
    <n v="244"/>
    <x v="16"/>
    <x v="9"/>
    <x v="0"/>
    <x v="0"/>
  </r>
  <r>
    <d v="2021-01-21T00:00:00"/>
    <x v="3"/>
    <n v="15"/>
    <x v="0"/>
    <x v="1"/>
    <n v="0"/>
    <x v="3"/>
    <x v="3"/>
    <x v="2"/>
    <n v="44"/>
    <n v="48.84"/>
    <n v="660"/>
    <x v="17"/>
    <x v="10"/>
    <x v="0"/>
    <x v="0"/>
  </r>
  <r>
    <d v="2021-01-21T00:00:00"/>
    <x v="6"/>
    <n v="9"/>
    <x v="2"/>
    <x v="0"/>
    <n v="0"/>
    <x v="6"/>
    <x v="3"/>
    <x v="1"/>
    <n v="71"/>
    <n v="80.94"/>
    <n v="639"/>
    <x v="18"/>
    <x v="10"/>
    <x v="0"/>
    <x v="0"/>
  </r>
  <r>
    <d v="2021-01-21T00:00:00"/>
    <x v="10"/>
    <n v="6"/>
    <x v="2"/>
    <x v="0"/>
    <n v="0"/>
    <x v="10"/>
    <x v="1"/>
    <x v="0"/>
    <n v="120"/>
    <n v="162"/>
    <n v="720"/>
    <x v="19"/>
    <x v="10"/>
    <x v="0"/>
    <x v="0"/>
  </r>
  <r>
    <d v="2021-01-25T00:00:00"/>
    <x v="13"/>
    <n v="6"/>
    <x v="2"/>
    <x v="1"/>
    <n v="0"/>
    <x v="13"/>
    <x v="4"/>
    <x v="2"/>
    <n v="55"/>
    <n v="58.3"/>
    <n v="330"/>
    <x v="20"/>
    <x v="11"/>
    <x v="0"/>
    <x v="0"/>
  </r>
  <r>
    <d v="2021-01-25T00:00:00"/>
    <x v="4"/>
    <n v="7"/>
    <x v="2"/>
    <x v="0"/>
    <n v="0"/>
    <x v="4"/>
    <x v="4"/>
    <x v="3"/>
    <n v="5"/>
    <n v="6.7"/>
    <n v="35"/>
    <x v="21"/>
    <x v="11"/>
    <x v="0"/>
    <x v="0"/>
  </r>
  <r>
    <d v="2021-01-25T00:00:00"/>
    <x v="5"/>
    <n v="14"/>
    <x v="2"/>
    <x v="0"/>
    <n v="0"/>
    <x v="5"/>
    <x v="4"/>
    <x v="1"/>
    <n v="93"/>
    <n v="104.16"/>
    <n v="1302"/>
    <x v="22"/>
    <x v="11"/>
    <x v="0"/>
    <x v="0"/>
  </r>
  <r>
    <d v="2021-01-26T00:00:00"/>
    <x v="11"/>
    <n v="9"/>
    <x v="0"/>
    <x v="1"/>
    <n v="0"/>
    <x v="11"/>
    <x v="1"/>
    <x v="1"/>
    <n v="76"/>
    <n v="82.08"/>
    <n v="684"/>
    <x v="23"/>
    <x v="12"/>
    <x v="0"/>
    <x v="0"/>
  </r>
  <r>
    <d v="2021-01-26T00:00:00"/>
    <x v="15"/>
    <n v="7"/>
    <x v="1"/>
    <x v="1"/>
    <n v="0"/>
    <x v="15"/>
    <x v="3"/>
    <x v="1"/>
    <n v="75"/>
    <n v="85.5"/>
    <n v="525"/>
    <x v="24"/>
    <x v="12"/>
    <x v="0"/>
    <x v="0"/>
  </r>
  <r>
    <d v="2021-01-26T00:00:00"/>
    <x v="16"/>
    <n v="7"/>
    <x v="1"/>
    <x v="0"/>
    <n v="0"/>
    <x v="16"/>
    <x v="3"/>
    <x v="1"/>
    <n v="98"/>
    <n v="103.88"/>
    <n v="686"/>
    <x v="25"/>
    <x v="12"/>
    <x v="0"/>
    <x v="0"/>
  </r>
  <r>
    <d v="2021-01-27T00:00:00"/>
    <x v="17"/>
    <n v="7"/>
    <x v="0"/>
    <x v="0"/>
    <n v="0"/>
    <x v="17"/>
    <x v="1"/>
    <x v="1"/>
    <n v="90"/>
    <n v="115.2"/>
    <n v="630"/>
    <x v="26"/>
    <x v="13"/>
    <x v="0"/>
    <x v="0"/>
  </r>
  <r>
    <d v="2021-01-27T00:00:00"/>
    <x v="18"/>
    <n v="3"/>
    <x v="0"/>
    <x v="0"/>
    <n v="0"/>
    <x v="18"/>
    <x v="4"/>
    <x v="1"/>
    <n v="89"/>
    <n v="117.48"/>
    <n v="267"/>
    <x v="27"/>
    <x v="13"/>
    <x v="0"/>
    <x v="0"/>
  </r>
  <r>
    <d v="2021-01-28T00:00:00"/>
    <x v="3"/>
    <n v="10"/>
    <x v="1"/>
    <x v="1"/>
    <n v="0"/>
    <x v="3"/>
    <x v="3"/>
    <x v="2"/>
    <n v="44"/>
    <n v="48.84"/>
    <n v="440"/>
    <x v="28"/>
    <x v="14"/>
    <x v="0"/>
    <x v="0"/>
  </r>
  <r>
    <d v="2021-01-28T00:00:00"/>
    <x v="19"/>
    <n v="2"/>
    <x v="2"/>
    <x v="1"/>
    <n v="0"/>
    <x v="19"/>
    <x v="4"/>
    <x v="2"/>
    <n v="47"/>
    <n v="53.11"/>
    <n v="94"/>
    <x v="29"/>
    <x v="14"/>
    <x v="0"/>
    <x v="0"/>
  </r>
  <r>
    <d v="2021-02-02T00:00:00"/>
    <x v="20"/>
    <n v="7"/>
    <x v="1"/>
    <x v="0"/>
    <n v="0"/>
    <x v="20"/>
    <x v="2"/>
    <x v="0"/>
    <n v="148"/>
    <n v="164.28"/>
    <n v="1036"/>
    <x v="30"/>
    <x v="1"/>
    <x v="1"/>
    <x v="0"/>
  </r>
  <r>
    <d v="2021-02-03T00:00:00"/>
    <x v="21"/>
    <n v="13"/>
    <x v="2"/>
    <x v="0"/>
    <n v="0"/>
    <x v="21"/>
    <x v="2"/>
    <x v="3"/>
    <n v="13"/>
    <n v="16.64"/>
    <n v="169"/>
    <x v="31"/>
    <x v="2"/>
    <x v="1"/>
    <x v="0"/>
  </r>
  <r>
    <d v="2021-02-03T00:00:00"/>
    <x v="22"/>
    <n v="2"/>
    <x v="0"/>
    <x v="1"/>
    <n v="0"/>
    <x v="22"/>
    <x v="0"/>
    <x v="0"/>
    <n v="121"/>
    <n v="141.57"/>
    <n v="242"/>
    <x v="32"/>
    <x v="2"/>
    <x v="1"/>
    <x v="0"/>
  </r>
  <r>
    <d v="2021-02-04T00:00:00"/>
    <x v="8"/>
    <n v="4"/>
    <x v="1"/>
    <x v="0"/>
    <n v="0"/>
    <x v="8"/>
    <x v="1"/>
    <x v="1"/>
    <n v="67"/>
    <n v="85.76"/>
    <n v="268"/>
    <x v="33"/>
    <x v="3"/>
    <x v="1"/>
    <x v="0"/>
  </r>
  <r>
    <d v="2021-02-05T00:00:00"/>
    <x v="23"/>
    <n v="7"/>
    <x v="1"/>
    <x v="1"/>
    <n v="0"/>
    <x v="23"/>
    <x v="1"/>
    <x v="1"/>
    <n v="67"/>
    <n v="83.08"/>
    <n v="469"/>
    <x v="34"/>
    <x v="15"/>
    <x v="1"/>
    <x v="0"/>
  </r>
  <r>
    <d v="2021-02-05T00:00:00"/>
    <x v="24"/>
    <n v="1"/>
    <x v="2"/>
    <x v="1"/>
    <n v="0"/>
    <x v="24"/>
    <x v="3"/>
    <x v="0"/>
    <n v="133"/>
    <n v="155.61000000000001"/>
    <n v="133"/>
    <x v="35"/>
    <x v="15"/>
    <x v="1"/>
    <x v="0"/>
  </r>
  <r>
    <d v="2021-02-05T00:00:00"/>
    <x v="23"/>
    <n v="9"/>
    <x v="2"/>
    <x v="1"/>
    <n v="0"/>
    <x v="23"/>
    <x v="1"/>
    <x v="1"/>
    <n v="67"/>
    <n v="83.08"/>
    <n v="603"/>
    <x v="36"/>
    <x v="15"/>
    <x v="1"/>
    <x v="0"/>
  </r>
  <r>
    <d v="2021-02-06T00:00:00"/>
    <x v="4"/>
    <n v="1"/>
    <x v="2"/>
    <x v="1"/>
    <n v="0"/>
    <x v="4"/>
    <x v="4"/>
    <x v="3"/>
    <n v="5"/>
    <n v="6.7"/>
    <n v="5"/>
    <x v="37"/>
    <x v="16"/>
    <x v="1"/>
    <x v="0"/>
  </r>
  <r>
    <d v="2021-02-09T00:00:00"/>
    <x v="13"/>
    <n v="14"/>
    <x v="2"/>
    <x v="0"/>
    <n v="0"/>
    <x v="13"/>
    <x v="4"/>
    <x v="2"/>
    <n v="55"/>
    <n v="58.3"/>
    <n v="770"/>
    <x v="38"/>
    <x v="4"/>
    <x v="1"/>
    <x v="0"/>
  </r>
  <r>
    <d v="2021-02-12T00:00:00"/>
    <x v="25"/>
    <n v="7"/>
    <x v="2"/>
    <x v="1"/>
    <n v="0"/>
    <x v="25"/>
    <x v="3"/>
    <x v="1"/>
    <n v="83"/>
    <n v="94.62"/>
    <n v="581"/>
    <x v="39"/>
    <x v="6"/>
    <x v="1"/>
    <x v="0"/>
  </r>
  <r>
    <d v="2021-02-12T00:00:00"/>
    <x v="12"/>
    <n v="9"/>
    <x v="1"/>
    <x v="1"/>
    <n v="0"/>
    <x v="12"/>
    <x v="0"/>
    <x v="0"/>
    <n v="141"/>
    <n v="149.46"/>
    <n v="1269"/>
    <x v="40"/>
    <x v="6"/>
    <x v="1"/>
    <x v="0"/>
  </r>
  <r>
    <d v="2021-02-15T00:00:00"/>
    <x v="26"/>
    <n v="4"/>
    <x v="2"/>
    <x v="0"/>
    <n v="0"/>
    <x v="26"/>
    <x v="4"/>
    <x v="2"/>
    <n v="48"/>
    <n v="57.120000000000005"/>
    <n v="192"/>
    <x v="41"/>
    <x v="17"/>
    <x v="1"/>
    <x v="0"/>
  </r>
  <r>
    <d v="2021-02-18T00:00:00"/>
    <x v="27"/>
    <n v="6"/>
    <x v="1"/>
    <x v="1"/>
    <n v="0"/>
    <x v="27"/>
    <x v="2"/>
    <x v="3"/>
    <n v="12"/>
    <n v="15.719999999999999"/>
    <n v="72"/>
    <x v="42"/>
    <x v="7"/>
    <x v="1"/>
    <x v="0"/>
  </r>
  <r>
    <d v="2021-02-20T00:00:00"/>
    <x v="28"/>
    <n v="11"/>
    <x v="1"/>
    <x v="1"/>
    <n v="0"/>
    <x v="28"/>
    <x v="4"/>
    <x v="0"/>
    <n v="148"/>
    <n v="201.28"/>
    <n v="1628"/>
    <x v="43"/>
    <x v="9"/>
    <x v="1"/>
    <x v="0"/>
  </r>
  <r>
    <d v="2021-02-22T00:00:00"/>
    <x v="2"/>
    <n v="5"/>
    <x v="1"/>
    <x v="1"/>
    <n v="0"/>
    <x v="2"/>
    <x v="2"/>
    <x v="1"/>
    <n v="112"/>
    <n v="122.08"/>
    <n v="560"/>
    <x v="44"/>
    <x v="18"/>
    <x v="1"/>
    <x v="0"/>
  </r>
  <r>
    <d v="2021-02-23T00:00:00"/>
    <x v="7"/>
    <n v="3"/>
    <x v="2"/>
    <x v="1"/>
    <n v="0"/>
    <x v="7"/>
    <x v="0"/>
    <x v="3"/>
    <n v="7"/>
    <n v="8.33"/>
    <n v="21"/>
    <x v="45"/>
    <x v="19"/>
    <x v="1"/>
    <x v="0"/>
  </r>
  <r>
    <d v="2021-02-23T00:00:00"/>
    <x v="24"/>
    <n v="2"/>
    <x v="2"/>
    <x v="0"/>
    <n v="0"/>
    <x v="24"/>
    <x v="3"/>
    <x v="0"/>
    <n v="133"/>
    <n v="155.61000000000001"/>
    <n v="266"/>
    <x v="46"/>
    <x v="19"/>
    <x v="1"/>
    <x v="0"/>
  </r>
  <r>
    <d v="2021-02-25T00:00:00"/>
    <x v="29"/>
    <n v="4"/>
    <x v="0"/>
    <x v="0"/>
    <n v="0"/>
    <x v="29"/>
    <x v="3"/>
    <x v="1"/>
    <n v="105"/>
    <n v="142.80000000000001"/>
    <n v="420"/>
    <x v="47"/>
    <x v="11"/>
    <x v="1"/>
    <x v="0"/>
  </r>
  <r>
    <d v="2021-02-25T00:00:00"/>
    <x v="18"/>
    <n v="11"/>
    <x v="1"/>
    <x v="1"/>
    <n v="0"/>
    <x v="18"/>
    <x v="4"/>
    <x v="1"/>
    <n v="89"/>
    <n v="117.48"/>
    <n v="979"/>
    <x v="48"/>
    <x v="11"/>
    <x v="1"/>
    <x v="0"/>
  </r>
  <r>
    <d v="2021-02-25T00:00:00"/>
    <x v="28"/>
    <n v="2"/>
    <x v="2"/>
    <x v="0"/>
    <n v="0"/>
    <x v="28"/>
    <x v="4"/>
    <x v="0"/>
    <n v="148"/>
    <n v="201.28"/>
    <n v="296"/>
    <x v="49"/>
    <x v="11"/>
    <x v="1"/>
    <x v="0"/>
  </r>
  <r>
    <d v="2021-02-27T00:00:00"/>
    <x v="30"/>
    <n v="11"/>
    <x v="0"/>
    <x v="0"/>
    <n v="0"/>
    <x v="30"/>
    <x v="2"/>
    <x v="3"/>
    <n v="37"/>
    <n v="49.21"/>
    <n v="407"/>
    <x v="50"/>
    <x v="13"/>
    <x v="1"/>
    <x v="0"/>
  </r>
  <r>
    <d v="2021-03-03T00:00:00"/>
    <x v="31"/>
    <n v="1"/>
    <x v="2"/>
    <x v="0"/>
    <n v="0"/>
    <x v="31"/>
    <x v="2"/>
    <x v="2"/>
    <n v="44"/>
    <n v="48.4"/>
    <n v="44"/>
    <x v="51"/>
    <x v="2"/>
    <x v="2"/>
    <x v="0"/>
  </r>
  <r>
    <d v="2021-03-07T00:00:00"/>
    <x v="32"/>
    <n v="9"/>
    <x v="2"/>
    <x v="1"/>
    <n v="0"/>
    <x v="32"/>
    <x v="0"/>
    <x v="0"/>
    <n v="126"/>
    <n v="162.54"/>
    <n v="1134"/>
    <x v="52"/>
    <x v="20"/>
    <x v="2"/>
    <x v="0"/>
  </r>
  <r>
    <d v="2021-03-08T00:00:00"/>
    <x v="26"/>
    <n v="6"/>
    <x v="1"/>
    <x v="1"/>
    <n v="0"/>
    <x v="26"/>
    <x v="4"/>
    <x v="2"/>
    <n v="48"/>
    <n v="57.120000000000005"/>
    <n v="288"/>
    <x v="53"/>
    <x v="21"/>
    <x v="2"/>
    <x v="0"/>
  </r>
  <r>
    <d v="2021-03-08T00:00:00"/>
    <x v="11"/>
    <n v="9"/>
    <x v="1"/>
    <x v="0"/>
    <n v="0"/>
    <x v="11"/>
    <x v="1"/>
    <x v="1"/>
    <n v="76"/>
    <n v="82.08"/>
    <n v="684"/>
    <x v="23"/>
    <x v="21"/>
    <x v="2"/>
    <x v="0"/>
  </r>
  <r>
    <d v="2021-03-09T00:00:00"/>
    <x v="19"/>
    <n v="6"/>
    <x v="0"/>
    <x v="0"/>
    <n v="0"/>
    <x v="19"/>
    <x v="4"/>
    <x v="2"/>
    <n v="47"/>
    <n v="53.11"/>
    <n v="282"/>
    <x v="54"/>
    <x v="4"/>
    <x v="2"/>
    <x v="0"/>
  </r>
  <r>
    <d v="2021-03-11T00:00:00"/>
    <x v="7"/>
    <n v="11"/>
    <x v="2"/>
    <x v="1"/>
    <n v="0"/>
    <x v="7"/>
    <x v="0"/>
    <x v="3"/>
    <n v="7"/>
    <n v="8.33"/>
    <n v="77"/>
    <x v="55"/>
    <x v="5"/>
    <x v="2"/>
    <x v="0"/>
  </r>
  <r>
    <d v="2021-03-13T00:00:00"/>
    <x v="33"/>
    <n v="10"/>
    <x v="0"/>
    <x v="1"/>
    <n v="0"/>
    <x v="33"/>
    <x v="4"/>
    <x v="3"/>
    <n v="37"/>
    <n v="41.81"/>
    <n v="370"/>
    <x v="56"/>
    <x v="22"/>
    <x v="2"/>
    <x v="0"/>
  </r>
  <r>
    <d v="2021-03-15T00:00:00"/>
    <x v="34"/>
    <n v="11"/>
    <x v="1"/>
    <x v="1"/>
    <n v="0"/>
    <x v="34"/>
    <x v="1"/>
    <x v="3"/>
    <n v="37"/>
    <n v="42.55"/>
    <n v="407"/>
    <x v="57"/>
    <x v="17"/>
    <x v="2"/>
    <x v="0"/>
  </r>
  <r>
    <d v="2021-03-16T00:00:00"/>
    <x v="35"/>
    <n v="14"/>
    <x v="2"/>
    <x v="1"/>
    <n v="0"/>
    <x v="35"/>
    <x v="2"/>
    <x v="1"/>
    <n v="73"/>
    <n v="94.17"/>
    <n v="1022"/>
    <x v="58"/>
    <x v="23"/>
    <x v="2"/>
    <x v="0"/>
  </r>
  <r>
    <d v="2021-03-18T00:00:00"/>
    <x v="10"/>
    <n v="8"/>
    <x v="0"/>
    <x v="1"/>
    <n v="0"/>
    <x v="10"/>
    <x v="1"/>
    <x v="0"/>
    <n v="120"/>
    <n v="162"/>
    <n v="960"/>
    <x v="59"/>
    <x v="7"/>
    <x v="2"/>
    <x v="0"/>
  </r>
  <r>
    <d v="2021-03-19T00:00:00"/>
    <x v="33"/>
    <n v="9"/>
    <x v="1"/>
    <x v="1"/>
    <n v="0"/>
    <x v="33"/>
    <x v="4"/>
    <x v="3"/>
    <n v="37"/>
    <n v="41.81"/>
    <n v="333"/>
    <x v="60"/>
    <x v="8"/>
    <x v="2"/>
    <x v="0"/>
  </r>
  <r>
    <d v="2021-03-21T00:00:00"/>
    <x v="14"/>
    <n v="13"/>
    <x v="1"/>
    <x v="0"/>
    <n v="0"/>
    <x v="14"/>
    <x v="0"/>
    <x v="2"/>
    <n v="61"/>
    <n v="76.25"/>
    <n v="793"/>
    <x v="61"/>
    <x v="10"/>
    <x v="2"/>
    <x v="0"/>
  </r>
  <r>
    <d v="2021-03-21T00:00:00"/>
    <x v="34"/>
    <n v="7"/>
    <x v="2"/>
    <x v="0"/>
    <n v="0"/>
    <x v="34"/>
    <x v="1"/>
    <x v="3"/>
    <n v="37"/>
    <n v="42.55"/>
    <n v="259"/>
    <x v="62"/>
    <x v="10"/>
    <x v="2"/>
    <x v="0"/>
  </r>
  <r>
    <d v="2021-03-22T00:00:00"/>
    <x v="29"/>
    <n v="8"/>
    <x v="1"/>
    <x v="0"/>
    <n v="0"/>
    <x v="29"/>
    <x v="3"/>
    <x v="1"/>
    <n v="105"/>
    <n v="142.80000000000001"/>
    <n v="840"/>
    <x v="63"/>
    <x v="18"/>
    <x v="2"/>
    <x v="0"/>
  </r>
  <r>
    <d v="2021-03-22T00:00:00"/>
    <x v="35"/>
    <n v="4"/>
    <x v="1"/>
    <x v="0"/>
    <n v="0"/>
    <x v="35"/>
    <x v="2"/>
    <x v="1"/>
    <n v="73"/>
    <n v="94.17"/>
    <n v="292"/>
    <x v="64"/>
    <x v="18"/>
    <x v="2"/>
    <x v="0"/>
  </r>
  <r>
    <d v="2021-03-25T00:00:00"/>
    <x v="0"/>
    <n v="14"/>
    <x v="1"/>
    <x v="1"/>
    <n v="0"/>
    <x v="0"/>
    <x v="0"/>
    <x v="0"/>
    <n v="144"/>
    <n v="156.96"/>
    <n v="2016"/>
    <x v="65"/>
    <x v="11"/>
    <x v="2"/>
    <x v="0"/>
  </r>
  <r>
    <d v="2021-03-25T00:00:00"/>
    <x v="15"/>
    <n v="4"/>
    <x v="2"/>
    <x v="1"/>
    <n v="0"/>
    <x v="15"/>
    <x v="3"/>
    <x v="1"/>
    <n v="75"/>
    <n v="85.5"/>
    <n v="300"/>
    <x v="66"/>
    <x v="11"/>
    <x v="2"/>
    <x v="0"/>
  </r>
  <r>
    <d v="2021-03-25T00:00:00"/>
    <x v="19"/>
    <n v="8"/>
    <x v="2"/>
    <x v="1"/>
    <n v="0"/>
    <x v="19"/>
    <x v="4"/>
    <x v="2"/>
    <n v="47"/>
    <n v="53.11"/>
    <n v="376"/>
    <x v="67"/>
    <x v="11"/>
    <x v="2"/>
    <x v="0"/>
  </r>
  <r>
    <d v="2021-03-25T00:00:00"/>
    <x v="1"/>
    <n v="2"/>
    <x v="2"/>
    <x v="0"/>
    <n v="0"/>
    <x v="1"/>
    <x v="1"/>
    <x v="1"/>
    <n v="72"/>
    <n v="79.92"/>
    <n v="144"/>
    <x v="68"/>
    <x v="11"/>
    <x v="2"/>
    <x v="0"/>
  </r>
  <r>
    <d v="2021-03-26T00:00:00"/>
    <x v="16"/>
    <n v="4"/>
    <x v="2"/>
    <x v="1"/>
    <n v="0"/>
    <x v="16"/>
    <x v="3"/>
    <x v="1"/>
    <n v="98"/>
    <n v="103.88"/>
    <n v="392"/>
    <x v="69"/>
    <x v="12"/>
    <x v="2"/>
    <x v="0"/>
  </r>
  <r>
    <d v="2021-03-26T00:00:00"/>
    <x v="10"/>
    <n v="1"/>
    <x v="2"/>
    <x v="1"/>
    <n v="0"/>
    <x v="10"/>
    <x v="1"/>
    <x v="0"/>
    <n v="120"/>
    <n v="162"/>
    <n v="120"/>
    <x v="70"/>
    <x v="12"/>
    <x v="2"/>
    <x v="0"/>
  </r>
  <r>
    <d v="2021-03-26T00:00:00"/>
    <x v="20"/>
    <n v="9"/>
    <x v="2"/>
    <x v="0"/>
    <n v="0"/>
    <x v="20"/>
    <x v="2"/>
    <x v="0"/>
    <n v="148"/>
    <n v="164.28"/>
    <n v="1332"/>
    <x v="71"/>
    <x v="12"/>
    <x v="2"/>
    <x v="0"/>
  </r>
  <r>
    <d v="2021-03-27T00:00:00"/>
    <x v="28"/>
    <n v="3"/>
    <x v="2"/>
    <x v="0"/>
    <n v="0"/>
    <x v="28"/>
    <x v="4"/>
    <x v="0"/>
    <n v="148"/>
    <n v="201.28"/>
    <n v="444"/>
    <x v="72"/>
    <x v="13"/>
    <x v="2"/>
    <x v="0"/>
  </r>
  <r>
    <d v="2021-03-28T00:00:00"/>
    <x v="36"/>
    <n v="8"/>
    <x v="1"/>
    <x v="1"/>
    <n v="0"/>
    <x v="36"/>
    <x v="3"/>
    <x v="2"/>
    <n v="43"/>
    <n v="47.730000000000004"/>
    <n v="344"/>
    <x v="73"/>
    <x v="14"/>
    <x v="2"/>
    <x v="0"/>
  </r>
  <r>
    <d v="2021-03-30T00:00:00"/>
    <x v="1"/>
    <n v="1"/>
    <x v="1"/>
    <x v="1"/>
    <n v="0"/>
    <x v="1"/>
    <x v="1"/>
    <x v="1"/>
    <n v="72"/>
    <n v="79.92"/>
    <n v="72"/>
    <x v="74"/>
    <x v="24"/>
    <x v="2"/>
    <x v="0"/>
  </r>
  <r>
    <d v="2021-03-31T00:00:00"/>
    <x v="10"/>
    <n v="3"/>
    <x v="2"/>
    <x v="1"/>
    <n v="0"/>
    <x v="10"/>
    <x v="1"/>
    <x v="0"/>
    <n v="120"/>
    <n v="162"/>
    <n v="360"/>
    <x v="75"/>
    <x v="25"/>
    <x v="2"/>
    <x v="0"/>
  </r>
  <r>
    <d v="2021-04-04T00:00:00"/>
    <x v="17"/>
    <n v="4"/>
    <x v="2"/>
    <x v="1"/>
    <n v="0"/>
    <x v="17"/>
    <x v="1"/>
    <x v="1"/>
    <n v="90"/>
    <n v="115.2"/>
    <n v="360"/>
    <x v="76"/>
    <x v="3"/>
    <x v="3"/>
    <x v="0"/>
  </r>
  <r>
    <d v="2021-04-04T00:00:00"/>
    <x v="37"/>
    <n v="9"/>
    <x v="1"/>
    <x v="1"/>
    <n v="0"/>
    <x v="37"/>
    <x v="3"/>
    <x v="3"/>
    <n v="6"/>
    <n v="7.8599999999999994"/>
    <n v="54"/>
    <x v="77"/>
    <x v="3"/>
    <x v="3"/>
    <x v="0"/>
  </r>
  <r>
    <d v="2021-04-05T00:00:00"/>
    <x v="5"/>
    <n v="15"/>
    <x v="1"/>
    <x v="0"/>
    <n v="0"/>
    <x v="5"/>
    <x v="4"/>
    <x v="1"/>
    <n v="93"/>
    <n v="104.16"/>
    <n v="1395"/>
    <x v="78"/>
    <x v="15"/>
    <x v="3"/>
    <x v="0"/>
  </r>
  <r>
    <d v="2021-04-09T00:00:00"/>
    <x v="24"/>
    <n v="3"/>
    <x v="1"/>
    <x v="0"/>
    <n v="0"/>
    <x v="24"/>
    <x v="3"/>
    <x v="0"/>
    <n v="133"/>
    <n v="155.61000000000001"/>
    <n v="399"/>
    <x v="79"/>
    <x v="4"/>
    <x v="3"/>
    <x v="0"/>
  </r>
  <r>
    <d v="2021-04-10T00:00:00"/>
    <x v="22"/>
    <n v="14"/>
    <x v="2"/>
    <x v="0"/>
    <n v="0"/>
    <x v="22"/>
    <x v="0"/>
    <x v="0"/>
    <n v="121"/>
    <n v="141.57"/>
    <n v="1694"/>
    <x v="80"/>
    <x v="26"/>
    <x v="3"/>
    <x v="0"/>
  </r>
  <r>
    <d v="2021-04-12T00:00:00"/>
    <x v="8"/>
    <n v="3"/>
    <x v="2"/>
    <x v="1"/>
    <n v="0"/>
    <x v="8"/>
    <x v="1"/>
    <x v="1"/>
    <n v="67"/>
    <n v="85.76"/>
    <n v="201"/>
    <x v="8"/>
    <x v="6"/>
    <x v="3"/>
    <x v="0"/>
  </r>
  <r>
    <d v="2021-04-12T00:00:00"/>
    <x v="19"/>
    <n v="4"/>
    <x v="2"/>
    <x v="0"/>
    <n v="0"/>
    <x v="19"/>
    <x v="4"/>
    <x v="2"/>
    <n v="47"/>
    <n v="53.11"/>
    <n v="188"/>
    <x v="81"/>
    <x v="6"/>
    <x v="3"/>
    <x v="0"/>
  </r>
  <r>
    <d v="2021-04-12T00:00:00"/>
    <x v="26"/>
    <n v="9"/>
    <x v="2"/>
    <x v="0"/>
    <n v="0"/>
    <x v="26"/>
    <x v="4"/>
    <x v="2"/>
    <n v="48"/>
    <n v="57.120000000000005"/>
    <n v="432"/>
    <x v="82"/>
    <x v="6"/>
    <x v="3"/>
    <x v="0"/>
  </r>
  <r>
    <d v="2021-04-12T00:00:00"/>
    <x v="38"/>
    <n v="13"/>
    <x v="2"/>
    <x v="1"/>
    <n v="0"/>
    <x v="38"/>
    <x v="4"/>
    <x v="1"/>
    <n v="95"/>
    <n v="119.7"/>
    <n v="1235"/>
    <x v="83"/>
    <x v="6"/>
    <x v="3"/>
    <x v="0"/>
  </r>
  <r>
    <d v="2021-04-15T00:00:00"/>
    <x v="39"/>
    <n v="3"/>
    <x v="2"/>
    <x v="0"/>
    <n v="0"/>
    <x v="39"/>
    <x v="2"/>
    <x v="0"/>
    <n v="134"/>
    <n v="156.78"/>
    <n v="402"/>
    <x v="84"/>
    <x v="17"/>
    <x v="3"/>
    <x v="0"/>
  </r>
  <r>
    <d v="2021-04-16T00:00:00"/>
    <x v="30"/>
    <n v="15"/>
    <x v="2"/>
    <x v="1"/>
    <n v="0"/>
    <x v="30"/>
    <x v="2"/>
    <x v="3"/>
    <n v="37"/>
    <n v="49.21"/>
    <n v="555"/>
    <x v="85"/>
    <x v="23"/>
    <x v="3"/>
    <x v="0"/>
  </r>
  <r>
    <d v="2021-04-18T00:00:00"/>
    <x v="1"/>
    <n v="9"/>
    <x v="0"/>
    <x v="0"/>
    <n v="0"/>
    <x v="1"/>
    <x v="1"/>
    <x v="1"/>
    <n v="72"/>
    <n v="79.92"/>
    <n v="648"/>
    <x v="86"/>
    <x v="7"/>
    <x v="3"/>
    <x v="0"/>
  </r>
  <r>
    <d v="2021-04-18T00:00:00"/>
    <x v="40"/>
    <n v="13"/>
    <x v="2"/>
    <x v="1"/>
    <n v="0"/>
    <x v="40"/>
    <x v="2"/>
    <x v="0"/>
    <n v="150"/>
    <n v="210"/>
    <n v="1950"/>
    <x v="87"/>
    <x v="7"/>
    <x v="3"/>
    <x v="0"/>
  </r>
  <r>
    <d v="2021-04-23T00:00:00"/>
    <x v="10"/>
    <n v="6"/>
    <x v="2"/>
    <x v="0"/>
    <n v="0"/>
    <x v="10"/>
    <x v="1"/>
    <x v="0"/>
    <n v="120"/>
    <n v="162"/>
    <n v="720"/>
    <x v="19"/>
    <x v="19"/>
    <x v="3"/>
    <x v="0"/>
  </r>
  <r>
    <d v="2021-04-23T00:00:00"/>
    <x v="33"/>
    <n v="10"/>
    <x v="2"/>
    <x v="0"/>
    <n v="0"/>
    <x v="33"/>
    <x v="4"/>
    <x v="3"/>
    <n v="37"/>
    <n v="41.81"/>
    <n v="370"/>
    <x v="56"/>
    <x v="19"/>
    <x v="3"/>
    <x v="0"/>
  </r>
  <r>
    <d v="2021-04-24T00:00:00"/>
    <x v="28"/>
    <n v="2"/>
    <x v="1"/>
    <x v="0"/>
    <n v="0"/>
    <x v="28"/>
    <x v="4"/>
    <x v="0"/>
    <n v="148"/>
    <n v="201.28"/>
    <n v="296"/>
    <x v="49"/>
    <x v="27"/>
    <x v="3"/>
    <x v="0"/>
  </r>
  <r>
    <d v="2021-04-26T00:00:00"/>
    <x v="8"/>
    <n v="3"/>
    <x v="2"/>
    <x v="0"/>
    <n v="0"/>
    <x v="8"/>
    <x v="1"/>
    <x v="1"/>
    <n v="67"/>
    <n v="85.76"/>
    <n v="201"/>
    <x v="8"/>
    <x v="12"/>
    <x v="3"/>
    <x v="0"/>
  </r>
  <r>
    <d v="2021-04-29T00:00:00"/>
    <x v="28"/>
    <n v="7"/>
    <x v="2"/>
    <x v="0"/>
    <n v="0"/>
    <x v="28"/>
    <x v="4"/>
    <x v="0"/>
    <n v="148"/>
    <n v="201.28"/>
    <n v="1036"/>
    <x v="88"/>
    <x v="28"/>
    <x v="3"/>
    <x v="0"/>
  </r>
  <r>
    <d v="2021-04-30T00:00:00"/>
    <x v="19"/>
    <n v="1"/>
    <x v="2"/>
    <x v="0"/>
    <n v="0"/>
    <x v="19"/>
    <x v="4"/>
    <x v="2"/>
    <n v="47"/>
    <n v="53.11"/>
    <n v="47"/>
    <x v="89"/>
    <x v="24"/>
    <x v="3"/>
    <x v="0"/>
  </r>
  <r>
    <d v="2021-05-01T00:00:00"/>
    <x v="30"/>
    <n v="3"/>
    <x v="1"/>
    <x v="1"/>
    <n v="0"/>
    <x v="30"/>
    <x v="2"/>
    <x v="3"/>
    <n v="37"/>
    <n v="49.21"/>
    <n v="111"/>
    <x v="90"/>
    <x v="0"/>
    <x v="4"/>
    <x v="0"/>
  </r>
  <r>
    <d v="2021-05-01T00:00:00"/>
    <x v="10"/>
    <n v="1"/>
    <x v="1"/>
    <x v="1"/>
    <n v="0"/>
    <x v="10"/>
    <x v="1"/>
    <x v="0"/>
    <n v="120"/>
    <n v="162"/>
    <n v="120"/>
    <x v="70"/>
    <x v="0"/>
    <x v="4"/>
    <x v="0"/>
  </r>
  <r>
    <d v="2021-05-03T00:00:00"/>
    <x v="13"/>
    <n v="3"/>
    <x v="1"/>
    <x v="0"/>
    <n v="0"/>
    <x v="13"/>
    <x v="4"/>
    <x v="2"/>
    <n v="55"/>
    <n v="58.3"/>
    <n v="165"/>
    <x v="91"/>
    <x v="2"/>
    <x v="4"/>
    <x v="0"/>
  </r>
  <r>
    <d v="2021-05-04T00:00:00"/>
    <x v="27"/>
    <n v="13"/>
    <x v="1"/>
    <x v="0"/>
    <n v="0"/>
    <x v="27"/>
    <x v="2"/>
    <x v="3"/>
    <n v="12"/>
    <n v="15.719999999999999"/>
    <n v="156"/>
    <x v="92"/>
    <x v="3"/>
    <x v="4"/>
    <x v="0"/>
  </r>
  <r>
    <d v="2021-05-04T00:00:00"/>
    <x v="9"/>
    <n v="4"/>
    <x v="2"/>
    <x v="1"/>
    <n v="0"/>
    <x v="9"/>
    <x v="2"/>
    <x v="1"/>
    <n v="112"/>
    <n v="146.72"/>
    <n v="448"/>
    <x v="9"/>
    <x v="3"/>
    <x v="4"/>
    <x v="0"/>
  </r>
  <r>
    <d v="2021-05-05T00:00:00"/>
    <x v="37"/>
    <n v="13"/>
    <x v="2"/>
    <x v="1"/>
    <n v="0"/>
    <x v="37"/>
    <x v="3"/>
    <x v="3"/>
    <n v="6"/>
    <n v="7.8599999999999994"/>
    <n v="78"/>
    <x v="93"/>
    <x v="15"/>
    <x v="4"/>
    <x v="0"/>
  </r>
  <r>
    <d v="2021-05-06T00:00:00"/>
    <x v="25"/>
    <n v="15"/>
    <x v="2"/>
    <x v="0"/>
    <n v="0"/>
    <x v="25"/>
    <x v="3"/>
    <x v="1"/>
    <n v="83"/>
    <n v="94.62"/>
    <n v="1245"/>
    <x v="94"/>
    <x v="16"/>
    <x v="4"/>
    <x v="0"/>
  </r>
  <r>
    <d v="2021-05-06T00:00:00"/>
    <x v="37"/>
    <n v="6"/>
    <x v="1"/>
    <x v="0"/>
    <n v="0"/>
    <x v="37"/>
    <x v="3"/>
    <x v="3"/>
    <n v="6"/>
    <n v="7.8599999999999994"/>
    <n v="36"/>
    <x v="95"/>
    <x v="16"/>
    <x v="4"/>
    <x v="0"/>
  </r>
  <r>
    <d v="2021-05-07T00:00:00"/>
    <x v="30"/>
    <n v="1"/>
    <x v="2"/>
    <x v="1"/>
    <n v="0"/>
    <x v="30"/>
    <x v="2"/>
    <x v="3"/>
    <n v="37"/>
    <n v="49.21"/>
    <n v="37"/>
    <x v="96"/>
    <x v="20"/>
    <x v="4"/>
    <x v="0"/>
  </r>
  <r>
    <d v="2021-05-09T00:00:00"/>
    <x v="21"/>
    <n v="6"/>
    <x v="1"/>
    <x v="0"/>
    <n v="0"/>
    <x v="21"/>
    <x v="2"/>
    <x v="3"/>
    <n v="13"/>
    <n v="16.64"/>
    <n v="78"/>
    <x v="97"/>
    <x v="4"/>
    <x v="4"/>
    <x v="0"/>
  </r>
  <r>
    <d v="2021-05-09T00:00:00"/>
    <x v="33"/>
    <n v="8"/>
    <x v="2"/>
    <x v="1"/>
    <n v="0"/>
    <x v="33"/>
    <x v="4"/>
    <x v="3"/>
    <n v="37"/>
    <n v="41.81"/>
    <n v="296"/>
    <x v="98"/>
    <x v="4"/>
    <x v="4"/>
    <x v="0"/>
  </r>
  <r>
    <d v="2021-05-12T00:00:00"/>
    <x v="21"/>
    <n v="3"/>
    <x v="2"/>
    <x v="0"/>
    <n v="0"/>
    <x v="21"/>
    <x v="2"/>
    <x v="3"/>
    <n v="13"/>
    <n v="16.64"/>
    <n v="39"/>
    <x v="99"/>
    <x v="6"/>
    <x v="4"/>
    <x v="0"/>
  </r>
  <r>
    <d v="2021-05-12T00:00:00"/>
    <x v="4"/>
    <n v="15"/>
    <x v="2"/>
    <x v="0"/>
    <n v="0"/>
    <x v="4"/>
    <x v="4"/>
    <x v="3"/>
    <n v="5"/>
    <n v="6.7"/>
    <n v="75"/>
    <x v="100"/>
    <x v="6"/>
    <x v="4"/>
    <x v="0"/>
  </r>
  <r>
    <d v="2021-05-13T00:00:00"/>
    <x v="19"/>
    <n v="4"/>
    <x v="2"/>
    <x v="0"/>
    <n v="0"/>
    <x v="19"/>
    <x v="4"/>
    <x v="2"/>
    <n v="47"/>
    <n v="53.11"/>
    <n v="188"/>
    <x v="81"/>
    <x v="22"/>
    <x v="4"/>
    <x v="0"/>
  </r>
  <r>
    <d v="2021-05-20T00:00:00"/>
    <x v="10"/>
    <n v="2"/>
    <x v="1"/>
    <x v="1"/>
    <n v="0"/>
    <x v="10"/>
    <x v="1"/>
    <x v="0"/>
    <n v="120"/>
    <n v="162"/>
    <n v="240"/>
    <x v="101"/>
    <x v="9"/>
    <x v="4"/>
    <x v="0"/>
  </r>
  <r>
    <d v="2021-05-23T00:00:00"/>
    <x v="17"/>
    <n v="11"/>
    <x v="2"/>
    <x v="0"/>
    <n v="0"/>
    <x v="17"/>
    <x v="1"/>
    <x v="1"/>
    <n v="90"/>
    <n v="115.2"/>
    <n v="990"/>
    <x v="102"/>
    <x v="19"/>
    <x v="4"/>
    <x v="0"/>
  </r>
  <r>
    <d v="2021-05-30T00:00:00"/>
    <x v="12"/>
    <n v="13"/>
    <x v="1"/>
    <x v="0"/>
    <n v="0"/>
    <x v="12"/>
    <x v="0"/>
    <x v="0"/>
    <n v="141"/>
    <n v="149.46"/>
    <n v="1833"/>
    <x v="103"/>
    <x v="24"/>
    <x v="4"/>
    <x v="0"/>
  </r>
  <r>
    <d v="2021-05-30T00:00:00"/>
    <x v="2"/>
    <n v="6"/>
    <x v="1"/>
    <x v="1"/>
    <n v="0"/>
    <x v="2"/>
    <x v="2"/>
    <x v="1"/>
    <n v="112"/>
    <n v="122.08"/>
    <n v="672"/>
    <x v="2"/>
    <x v="24"/>
    <x v="4"/>
    <x v="0"/>
  </r>
  <r>
    <d v="2021-06-03T00:00:00"/>
    <x v="32"/>
    <n v="10"/>
    <x v="2"/>
    <x v="1"/>
    <n v="0"/>
    <x v="32"/>
    <x v="0"/>
    <x v="0"/>
    <n v="126"/>
    <n v="162.54"/>
    <n v="1260"/>
    <x v="104"/>
    <x v="2"/>
    <x v="5"/>
    <x v="0"/>
  </r>
  <r>
    <d v="2021-06-04T00:00:00"/>
    <x v="14"/>
    <n v="8"/>
    <x v="0"/>
    <x v="0"/>
    <n v="0"/>
    <x v="14"/>
    <x v="0"/>
    <x v="2"/>
    <n v="61"/>
    <n v="76.25"/>
    <n v="488"/>
    <x v="105"/>
    <x v="3"/>
    <x v="5"/>
    <x v="0"/>
  </r>
  <r>
    <d v="2021-06-04T00:00:00"/>
    <x v="14"/>
    <n v="12"/>
    <x v="1"/>
    <x v="1"/>
    <n v="0"/>
    <x v="14"/>
    <x v="0"/>
    <x v="2"/>
    <n v="61"/>
    <n v="76.25"/>
    <n v="732"/>
    <x v="106"/>
    <x v="3"/>
    <x v="5"/>
    <x v="0"/>
  </r>
  <r>
    <d v="2021-06-05T00:00:00"/>
    <x v="22"/>
    <n v="15"/>
    <x v="0"/>
    <x v="0"/>
    <n v="0"/>
    <x v="22"/>
    <x v="0"/>
    <x v="0"/>
    <n v="121"/>
    <n v="141.57"/>
    <n v="1815"/>
    <x v="107"/>
    <x v="15"/>
    <x v="5"/>
    <x v="0"/>
  </r>
  <r>
    <d v="2021-06-05T00:00:00"/>
    <x v="4"/>
    <n v="10"/>
    <x v="2"/>
    <x v="0"/>
    <n v="0"/>
    <x v="4"/>
    <x v="4"/>
    <x v="3"/>
    <n v="5"/>
    <n v="6.7"/>
    <n v="50"/>
    <x v="108"/>
    <x v="15"/>
    <x v="5"/>
    <x v="0"/>
  </r>
  <r>
    <d v="2021-06-06T00:00:00"/>
    <x v="38"/>
    <n v="6"/>
    <x v="2"/>
    <x v="0"/>
    <n v="0"/>
    <x v="38"/>
    <x v="4"/>
    <x v="1"/>
    <n v="95"/>
    <n v="119.7"/>
    <n v="570"/>
    <x v="109"/>
    <x v="16"/>
    <x v="5"/>
    <x v="0"/>
  </r>
  <r>
    <d v="2021-06-08T00:00:00"/>
    <x v="33"/>
    <n v="11"/>
    <x v="2"/>
    <x v="0"/>
    <n v="0"/>
    <x v="33"/>
    <x v="4"/>
    <x v="3"/>
    <n v="37"/>
    <n v="41.81"/>
    <n v="407"/>
    <x v="110"/>
    <x v="21"/>
    <x v="5"/>
    <x v="0"/>
  </r>
  <r>
    <d v="2021-06-08T00:00:00"/>
    <x v="3"/>
    <n v="11"/>
    <x v="0"/>
    <x v="1"/>
    <n v="0"/>
    <x v="3"/>
    <x v="3"/>
    <x v="2"/>
    <n v="44"/>
    <n v="48.84"/>
    <n v="484"/>
    <x v="111"/>
    <x v="21"/>
    <x v="5"/>
    <x v="0"/>
  </r>
  <r>
    <d v="2021-06-09T00:00:00"/>
    <x v="16"/>
    <n v="7"/>
    <x v="2"/>
    <x v="0"/>
    <n v="0"/>
    <x v="16"/>
    <x v="3"/>
    <x v="1"/>
    <n v="98"/>
    <n v="103.88"/>
    <n v="686"/>
    <x v="25"/>
    <x v="4"/>
    <x v="5"/>
    <x v="0"/>
  </r>
  <r>
    <d v="2021-06-11T00:00:00"/>
    <x v="18"/>
    <n v="12"/>
    <x v="0"/>
    <x v="1"/>
    <n v="0"/>
    <x v="18"/>
    <x v="4"/>
    <x v="1"/>
    <n v="89"/>
    <n v="117.48"/>
    <n v="1068"/>
    <x v="112"/>
    <x v="5"/>
    <x v="5"/>
    <x v="0"/>
  </r>
  <r>
    <d v="2021-06-12T00:00:00"/>
    <x v="41"/>
    <n v="6"/>
    <x v="2"/>
    <x v="0"/>
    <n v="0"/>
    <x v="41"/>
    <x v="1"/>
    <x v="0"/>
    <n v="138"/>
    <n v="173.88"/>
    <n v="828"/>
    <x v="113"/>
    <x v="6"/>
    <x v="5"/>
    <x v="0"/>
  </r>
  <r>
    <d v="2021-06-14T00:00:00"/>
    <x v="7"/>
    <n v="10"/>
    <x v="1"/>
    <x v="1"/>
    <n v="0"/>
    <x v="7"/>
    <x v="0"/>
    <x v="3"/>
    <n v="7"/>
    <n v="8.33"/>
    <n v="70"/>
    <x v="114"/>
    <x v="29"/>
    <x v="5"/>
    <x v="0"/>
  </r>
  <r>
    <d v="2021-06-16T00:00:00"/>
    <x v="40"/>
    <n v="5"/>
    <x v="0"/>
    <x v="1"/>
    <n v="0"/>
    <x v="40"/>
    <x v="2"/>
    <x v="0"/>
    <n v="150"/>
    <n v="210"/>
    <n v="750"/>
    <x v="115"/>
    <x v="23"/>
    <x v="5"/>
    <x v="0"/>
  </r>
  <r>
    <d v="2021-06-16T00:00:00"/>
    <x v="27"/>
    <n v="12"/>
    <x v="1"/>
    <x v="1"/>
    <n v="0"/>
    <x v="27"/>
    <x v="2"/>
    <x v="3"/>
    <n v="12"/>
    <n v="15.719999999999999"/>
    <n v="144"/>
    <x v="116"/>
    <x v="23"/>
    <x v="5"/>
    <x v="0"/>
  </r>
  <r>
    <d v="2021-06-16T00:00:00"/>
    <x v="34"/>
    <n v="11"/>
    <x v="2"/>
    <x v="1"/>
    <n v="0"/>
    <x v="34"/>
    <x v="1"/>
    <x v="3"/>
    <n v="37"/>
    <n v="42.55"/>
    <n v="407"/>
    <x v="57"/>
    <x v="23"/>
    <x v="5"/>
    <x v="0"/>
  </r>
  <r>
    <d v="2021-06-18T00:00:00"/>
    <x v="7"/>
    <n v="13"/>
    <x v="2"/>
    <x v="1"/>
    <n v="0"/>
    <x v="7"/>
    <x v="0"/>
    <x v="3"/>
    <n v="7"/>
    <n v="8.33"/>
    <n v="91"/>
    <x v="117"/>
    <x v="7"/>
    <x v="5"/>
    <x v="0"/>
  </r>
  <r>
    <d v="2021-06-19T00:00:00"/>
    <x v="41"/>
    <n v="5"/>
    <x v="2"/>
    <x v="0"/>
    <n v="0"/>
    <x v="41"/>
    <x v="1"/>
    <x v="0"/>
    <n v="138"/>
    <n v="173.88"/>
    <n v="690"/>
    <x v="118"/>
    <x v="8"/>
    <x v="5"/>
    <x v="0"/>
  </r>
  <r>
    <d v="2021-06-20T00:00:00"/>
    <x v="21"/>
    <n v="1"/>
    <x v="0"/>
    <x v="1"/>
    <n v="0"/>
    <x v="21"/>
    <x v="2"/>
    <x v="3"/>
    <n v="13"/>
    <n v="16.64"/>
    <n v="13"/>
    <x v="119"/>
    <x v="9"/>
    <x v="5"/>
    <x v="0"/>
  </r>
  <r>
    <d v="2021-06-23T00:00:00"/>
    <x v="21"/>
    <n v="4"/>
    <x v="2"/>
    <x v="0"/>
    <n v="0"/>
    <x v="21"/>
    <x v="2"/>
    <x v="3"/>
    <n v="13"/>
    <n v="16.64"/>
    <n v="52"/>
    <x v="120"/>
    <x v="19"/>
    <x v="5"/>
    <x v="0"/>
  </r>
  <r>
    <d v="2021-06-24T00:00:00"/>
    <x v="31"/>
    <n v="13"/>
    <x v="2"/>
    <x v="0"/>
    <n v="0"/>
    <x v="31"/>
    <x v="2"/>
    <x v="2"/>
    <n v="44"/>
    <n v="48.4"/>
    <n v="572"/>
    <x v="121"/>
    <x v="27"/>
    <x v="5"/>
    <x v="0"/>
  </r>
  <r>
    <d v="2021-06-26T00:00:00"/>
    <x v="37"/>
    <n v="7"/>
    <x v="1"/>
    <x v="0"/>
    <n v="0"/>
    <x v="37"/>
    <x v="3"/>
    <x v="3"/>
    <n v="6"/>
    <n v="7.8599999999999994"/>
    <n v="42"/>
    <x v="122"/>
    <x v="12"/>
    <x v="5"/>
    <x v="0"/>
  </r>
  <r>
    <d v="2021-06-27T00:00:00"/>
    <x v="24"/>
    <n v="11"/>
    <x v="2"/>
    <x v="1"/>
    <n v="0"/>
    <x v="24"/>
    <x v="3"/>
    <x v="0"/>
    <n v="133"/>
    <n v="155.61000000000001"/>
    <n v="1463"/>
    <x v="123"/>
    <x v="13"/>
    <x v="5"/>
    <x v="0"/>
  </r>
  <r>
    <d v="2021-06-28T00:00:00"/>
    <x v="32"/>
    <n v="2"/>
    <x v="1"/>
    <x v="1"/>
    <n v="0"/>
    <x v="32"/>
    <x v="0"/>
    <x v="0"/>
    <n v="126"/>
    <n v="162.54"/>
    <n v="252"/>
    <x v="124"/>
    <x v="14"/>
    <x v="5"/>
    <x v="0"/>
  </r>
  <r>
    <d v="2021-06-28T00:00:00"/>
    <x v="4"/>
    <n v="7"/>
    <x v="1"/>
    <x v="0"/>
    <n v="0"/>
    <x v="4"/>
    <x v="4"/>
    <x v="3"/>
    <n v="5"/>
    <n v="6.7"/>
    <n v="35"/>
    <x v="21"/>
    <x v="14"/>
    <x v="5"/>
    <x v="0"/>
  </r>
  <r>
    <d v="2021-06-29T00:00:00"/>
    <x v="9"/>
    <n v="4"/>
    <x v="2"/>
    <x v="0"/>
    <n v="0"/>
    <x v="9"/>
    <x v="2"/>
    <x v="1"/>
    <n v="112"/>
    <n v="146.72"/>
    <n v="448"/>
    <x v="9"/>
    <x v="28"/>
    <x v="5"/>
    <x v="0"/>
  </r>
  <r>
    <d v="2021-07-01T00:00:00"/>
    <x v="24"/>
    <n v="11"/>
    <x v="2"/>
    <x v="1"/>
    <n v="0"/>
    <x v="24"/>
    <x v="3"/>
    <x v="0"/>
    <n v="133"/>
    <n v="155.61000000000001"/>
    <n v="1463"/>
    <x v="123"/>
    <x v="0"/>
    <x v="6"/>
    <x v="0"/>
  </r>
  <r>
    <d v="2021-07-02T00:00:00"/>
    <x v="20"/>
    <n v="11"/>
    <x v="2"/>
    <x v="1"/>
    <n v="0"/>
    <x v="20"/>
    <x v="2"/>
    <x v="0"/>
    <n v="148"/>
    <n v="164.28"/>
    <n v="1628"/>
    <x v="125"/>
    <x v="1"/>
    <x v="6"/>
    <x v="0"/>
  </r>
  <r>
    <d v="2021-07-03T00:00:00"/>
    <x v="38"/>
    <n v="9"/>
    <x v="1"/>
    <x v="1"/>
    <n v="0"/>
    <x v="38"/>
    <x v="4"/>
    <x v="1"/>
    <n v="95"/>
    <n v="119.7"/>
    <n v="855"/>
    <x v="126"/>
    <x v="2"/>
    <x v="6"/>
    <x v="0"/>
  </r>
  <r>
    <d v="2021-07-03T00:00:00"/>
    <x v="6"/>
    <n v="8"/>
    <x v="1"/>
    <x v="1"/>
    <n v="0"/>
    <x v="6"/>
    <x v="3"/>
    <x v="1"/>
    <n v="71"/>
    <n v="80.94"/>
    <n v="568"/>
    <x v="6"/>
    <x v="2"/>
    <x v="6"/>
    <x v="0"/>
  </r>
  <r>
    <d v="2021-07-05T00:00:00"/>
    <x v="29"/>
    <n v="8"/>
    <x v="2"/>
    <x v="0"/>
    <n v="0"/>
    <x v="29"/>
    <x v="3"/>
    <x v="1"/>
    <n v="105"/>
    <n v="142.80000000000001"/>
    <n v="840"/>
    <x v="63"/>
    <x v="15"/>
    <x v="6"/>
    <x v="0"/>
  </r>
  <r>
    <d v="2021-07-06T00:00:00"/>
    <x v="41"/>
    <n v="15"/>
    <x v="2"/>
    <x v="1"/>
    <n v="0"/>
    <x v="41"/>
    <x v="1"/>
    <x v="0"/>
    <n v="138"/>
    <n v="173.88"/>
    <n v="2070"/>
    <x v="127"/>
    <x v="16"/>
    <x v="6"/>
    <x v="0"/>
  </r>
  <r>
    <d v="2021-07-08T00:00:00"/>
    <x v="3"/>
    <n v="10"/>
    <x v="2"/>
    <x v="0"/>
    <n v="0"/>
    <x v="3"/>
    <x v="3"/>
    <x v="2"/>
    <n v="44"/>
    <n v="48.84"/>
    <n v="440"/>
    <x v="28"/>
    <x v="21"/>
    <x v="6"/>
    <x v="0"/>
  </r>
  <r>
    <d v="2021-07-10T00:00:00"/>
    <x v="13"/>
    <n v="6"/>
    <x v="0"/>
    <x v="1"/>
    <n v="0"/>
    <x v="13"/>
    <x v="4"/>
    <x v="2"/>
    <n v="55"/>
    <n v="58.3"/>
    <n v="330"/>
    <x v="20"/>
    <x v="26"/>
    <x v="6"/>
    <x v="0"/>
  </r>
  <r>
    <d v="2021-07-11T00:00:00"/>
    <x v="37"/>
    <n v="4"/>
    <x v="0"/>
    <x v="0"/>
    <n v="0"/>
    <x v="37"/>
    <x v="3"/>
    <x v="3"/>
    <n v="6"/>
    <n v="7.8599999999999994"/>
    <n v="24"/>
    <x v="128"/>
    <x v="5"/>
    <x v="6"/>
    <x v="0"/>
  </r>
  <r>
    <d v="2021-07-13T00:00:00"/>
    <x v="40"/>
    <n v="1"/>
    <x v="2"/>
    <x v="1"/>
    <n v="0"/>
    <x v="40"/>
    <x v="2"/>
    <x v="0"/>
    <n v="150"/>
    <n v="210"/>
    <n v="150"/>
    <x v="129"/>
    <x v="22"/>
    <x v="6"/>
    <x v="0"/>
  </r>
  <r>
    <d v="2021-07-16T00:00:00"/>
    <x v="12"/>
    <n v="8"/>
    <x v="0"/>
    <x v="1"/>
    <n v="0"/>
    <x v="12"/>
    <x v="0"/>
    <x v="0"/>
    <n v="141"/>
    <n v="149.46"/>
    <n v="1128"/>
    <x v="130"/>
    <x v="23"/>
    <x v="6"/>
    <x v="0"/>
  </r>
  <r>
    <d v="2021-07-18T00:00:00"/>
    <x v="26"/>
    <n v="14"/>
    <x v="1"/>
    <x v="0"/>
    <n v="0"/>
    <x v="26"/>
    <x v="4"/>
    <x v="2"/>
    <n v="48"/>
    <n v="57.120000000000005"/>
    <n v="672"/>
    <x v="131"/>
    <x v="7"/>
    <x v="6"/>
    <x v="0"/>
  </r>
  <r>
    <d v="2021-07-20T00:00:00"/>
    <x v="1"/>
    <n v="11"/>
    <x v="1"/>
    <x v="0"/>
    <n v="0"/>
    <x v="1"/>
    <x v="1"/>
    <x v="1"/>
    <n v="72"/>
    <n v="79.92"/>
    <n v="792"/>
    <x v="132"/>
    <x v="9"/>
    <x v="6"/>
    <x v="0"/>
  </r>
  <r>
    <d v="2021-07-20T00:00:00"/>
    <x v="23"/>
    <n v="5"/>
    <x v="2"/>
    <x v="0"/>
    <n v="0"/>
    <x v="23"/>
    <x v="1"/>
    <x v="1"/>
    <n v="67"/>
    <n v="83.08"/>
    <n v="335"/>
    <x v="133"/>
    <x v="9"/>
    <x v="6"/>
    <x v="0"/>
  </r>
  <r>
    <d v="2021-07-21T00:00:00"/>
    <x v="19"/>
    <n v="15"/>
    <x v="2"/>
    <x v="0"/>
    <n v="0"/>
    <x v="19"/>
    <x v="4"/>
    <x v="2"/>
    <n v="47"/>
    <n v="53.11"/>
    <n v="705"/>
    <x v="134"/>
    <x v="10"/>
    <x v="6"/>
    <x v="0"/>
  </r>
  <r>
    <d v="2021-07-22T00:00:00"/>
    <x v="42"/>
    <n v="3"/>
    <x v="0"/>
    <x v="1"/>
    <n v="0"/>
    <x v="42"/>
    <x v="4"/>
    <x v="3"/>
    <n v="18"/>
    <n v="24.66"/>
    <n v="54"/>
    <x v="135"/>
    <x v="18"/>
    <x v="6"/>
    <x v="0"/>
  </r>
  <r>
    <d v="2021-07-22T00:00:00"/>
    <x v="0"/>
    <n v="14"/>
    <x v="1"/>
    <x v="1"/>
    <n v="0"/>
    <x v="0"/>
    <x v="0"/>
    <x v="0"/>
    <n v="144"/>
    <n v="156.96"/>
    <n v="2016"/>
    <x v="65"/>
    <x v="18"/>
    <x v="6"/>
    <x v="0"/>
  </r>
  <r>
    <d v="2021-07-23T00:00:00"/>
    <x v="43"/>
    <n v="7"/>
    <x v="0"/>
    <x v="0"/>
    <n v="0"/>
    <x v="43"/>
    <x v="4"/>
    <x v="1"/>
    <n v="90"/>
    <n v="96.3"/>
    <n v="630"/>
    <x v="136"/>
    <x v="19"/>
    <x v="6"/>
    <x v="0"/>
  </r>
  <r>
    <d v="2021-07-23T00:00:00"/>
    <x v="8"/>
    <n v="8"/>
    <x v="2"/>
    <x v="0"/>
    <n v="0"/>
    <x v="8"/>
    <x v="1"/>
    <x v="1"/>
    <n v="67"/>
    <n v="85.76"/>
    <n v="536"/>
    <x v="137"/>
    <x v="19"/>
    <x v="6"/>
    <x v="0"/>
  </r>
  <r>
    <d v="2021-07-24T00:00:00"/>
    <x v="37"/>
    <n v="4"/>
    <x v="1"/>
    <x v="1"/>
    <n v="0"/>
    <x v="37"/>
    <x v="3"/>
    <x v="3"/>
    <n v="6"/>
    <n v="7.8599999999999994"/>
    <n v="24"/>
    <x v="128"/>
    <x v="27"/>
    <x v="6"/>
    <x v="0"/>
  </r>
  <r>
    <d v="2021-07-29T00:00:00"/>
    <x v="11"/>
    <n v="15"/>
    <x v="1"/>
    <x v="1"/>
    <n v="0"/>
    <x v="11"/>
    <x v="1"/>
    <x v="1"/>
    <n v="76"/>
    <n v="82.08"/>
    <n v="1140"/>
    <x v="138"/>
    <x v="28"/>
    <x v="6"/>
    <x v="0"/>
  </r>
  <r>
    <d v="2021-08-01T00:00:00"/>
    <x v="16"/>
    <n v="11"/>
    <x v="2"/>
    <x v="1"/>
    <n v="0"/>
    <x v="16"/>
    <x v="3"/>
    <x v="1"/>
    <n v="98"/>
    <n v="103.88"/>
    <n v="1078"/>
    <x v="139"/>
    <x v="0"/>
    <x v="7"/>
    <x v="0"/>
  </r>
  <r>
    <d v="2021-08-02T00:00:00"/>
    <x v="12"/>
    <n v="3"/>
    <x v="2"/>
    <x v="0"/>
    <n v="0"/>
    <x v="12"/>
    <x v="0"/>
    <x v="0"/>
    <n v="141"/>
    <n v="149.46"/>
    <n v="423"/>
    <x v="13"/>
    <x v="1"/>
    <x v="7"/>
    <x v="0"/>
  </r>
  <r>
    <d v="2021-08-03T00:00:00"/>
    <x v="22"/>
    <n v="13"/>
    <x v="1"/>
    <x v="0"/>
    <n v="0"/>
    <x v="22"/>
    <x v="0"/>
    <x v="0"/>
    <n v="121"/>
    <n v="141.57"/>
    <n v="1573"/>
    <x v="140"/>
    <x v="2"/>
    <x v="7"/>
    <x v="0"/>
  </r>
  <r>
    <d v="2021-08-03T00:00:00"/>
    <x v="13"/>
    <n v="12"/>
    <x v="1"/>
    <x v="0"/>
    <n v="0"/>
    <x v="13"/>
    <x v="4"/>
    <x v="2"/>
    <n v="55"/>
    <n v="58.3"/>
    <n v="660"/>
    <x v="141"/>
    <x v="2"/>
    <x v="7"/>
    <x v="0"/>
  </r>
  <r>
    <d v="2021-08-05T00:00:00"/>
    <x v="33"/>
    <n v="14"/>
    <x v="2"/>
    <x v="1"/>
    <n v="0"/>
    <x v="33"/>
    <x v="4"/>
    <x v="3"/>
    <n v="37"/>
    <n v="41.81"/>
    <n v="518"/>
    <x v="142"/>
    <x v="15"/>
    <x v="7"/>
    <x v="0"/>
  </r>
  <r>
    <d v="2021-08-06T00:00:00"/>
    <x v="8"/>
    <n v="1"/>
    <x v="0"/>
    <x v="1"/>
    <n v="0"/>
    <x v="8"/>
    <x v="1"/>
    <x v="1"/>
    <n v="67"/>
    <n v="85.76"/>
    <n v="67"/>
    <x v="143"/>
    <x v="16"/>
    <x v="7"/>
    <x v="0"/>
  </r>
  <r>
    <d v="2021-08-10T00:00:00"/>
    <x v="24"/>
    <n v="4"/>
    <x v="0"/>
    <x v="1"/>
    <n v="0"/>
    <x v="24"/>
    <x v="3"/>
    <x v="0"/>
    <n v="133"/>
    <n v="155.61000000000001"/>
    <n v="532"/>
    <x v="144"/>
    <x v="26"/>
    <x v="7"/>
    <x v="0"/>
  </r>
  <r>
    <d v="2021-08-10T00:00:00"/>
    <x v="11"/>
    <n v="10"/>
    <x v="1"/>
    <x v="1"/>
    <n v="0"/>
    <x v="11"/>
    <x v="1"/>
    <x v="1"/>
    <n v="76"/>
    <n v="82.08"/>
    <n v="760"/>
    <x v="145"/>
    <x v="26"/>
    <x v="7"/>
    <x v="0"/>
  </r>
  <r>
    <d v="2021-08-10T00:00:00"/>
    <x v="15"/>
    <n v="6"/>
    <x v="2"/>
    <x v="1"/>
    <n v="0"/>
    <x v="15"/>
    <x v="3"/>
    <x v="1"/>
    <n v="75"/>
    <n v="85.5"/>
    <n v="450"/>
    <x v="146"/>
    <x v="26"/>
    <x v="7"/>
    <x v="0"/>
  </r>
  <r>
    <d v="2021-08-11T00:00:00"/>
    <x v="12"/>
    <n v="4"/>
    <x v="2"/>
    <x v="0"/>
    <n v="0"/>
    <x v="12"/>
    <x v="0"/>
    <x v="0"/>
    <n v="141"/>
    <n v="149.46"/>
    <n v="564"/>
    <x v="147"/>
    <x v="5"/>
    <x v="7"/>
    <x v="0"/>
  </r>
  <r>
    <d v="2021-08-13T00:00:00"/>
    <x v="31"/>
    <n v="13"/>
    <x v="2"/>
    <x v="0"/>
    <n v="0"/>
    <x v="31"/>
    <x v="2"/>
    <x v="2"/>
    <n v="44"/>
    <n v="48.4"/>
    <n v="572"/>
    <x v="121"/>
    <x v="22"/>
    <x v="7"/>
    <x v="0"/>
  </r>
  <r>
    <d v="2021-08-13T00:00:00"/>
    <x v="26"/>
    <n v="9"/>
    <x v="2"/>
    <x v="0"/>
    <n v="0"/>
    <x v="26"/>
    <x v="4"/>
    <x v="2"/>
    <n v="48"/>
    <n v="57.120000000000005"/>
    <n v="432"/>
    <x v="82"/>
    <x v="22"/>
    <x v="7"/>
    <x v="0"/>
  </r>
  <r>
    <d v="2021-08-16T00:00:00"/>
    <x v="6"/>
    <n v="3"/>
    <x v="1"/>
    <x v="0"/>
    <n v="0"/>
    <x v="6"/>
    <x v="3"/>
    <x v="1"/>
    <n v="71"/>
    <n v="80.94"/>
    <n v="213"/>
    <x v="148"/>
    <x v="23"/>
    <x v="7"/>
    <x v="0"/>
  </r>
  <r>
    <d v="2021-08-18T00:00:00"/>
    <x v="7"/>
    <n v="6"/>
    <x v="2"/>
    <x v="0"/>
    <n v="0"/>
    <x v="7"/>
    <x v="0"/>
    <x v="3"/>
    <n v="7"/>
    <n v="8.33"/>
    <n v="42"/>
    <x v="149"/>
    <x v="7"/>
    <x v="7"/>
    <x v="0"/>
  </r>
  <r>
    <d v="2021-08-20T00:00:00"/>
    <x v="14"/>
    <n v="15"/>
    <x v="2"/>
    <x v="1"/>
    <n v="0"/>
    <x v="14"/>
    <x v="0"/>
    <x v="2"/>
    <n v="61"/>
    <n v="76.25"/>
    <n v="915"/>
    <x v="150"/>
    <x v="9"/>
    <x v="7"/>
    <x v="0"/>
  </r>
  <r>
    <d v="2021-08-20T00:00:00"/>
    <x v="5"/>
    <n v="9"/>
    <x v="2"/>
    <x v="0"/>
    <n v="0"/>
    <x v="5"/>
    <x v="4"/>
    <x v="1"/>
    <n v="93"/>
    <n v="104.16"/>
    <n v="837"/>
    <x v="151"/>
    <x v="9"/>
    <x v="7"/>
    <x v="0"/>
  </r>
  <r>
    <d v="2021-08-20T00:00:00"/>
    <x v="33"/>
    <n v="13"/>
    <x v="2"/>
    <x v="0"/>
    <n v="0"/>
    <x v="33"/>
    <x v="4"/>
    <x v="3"/>
    <n v="37"/>
    <n v="41.81"/>
    <n v="481"/>
    <x v="152"/>
    <x v="9"/>
    <x v="7"/>
    <x v="0"/>
  </r>
  <r>
    <d v="2021-08-26T00:00:00"/>
    <x v="34"/>
    <n v="4"/>
    <x v="2"/>
    <x v="0"/>
    <n v="0"/>
    <x v="34"/>
    <x v="1"/>
    <x v="3"/>
    <n v="37"/>
    <n v="42.55"/>
    <n v="148"/>
    <x v="153"/>
    <x v="12"/>
    <x v="7"/>
    <x v="0"/>
  </r>
  <r>
    <d v="2021-08-29T00:00:00"/>
    <x v="13"/>
    <n v="12"/>
    <x v="0"/>
    <x v="0"/>
    <n v="0"/>
    <x v="13"/>
    <x v="4"/>
    <x v="2"/>
    <n v="55"/>
    <n v="58.3"/>
    <n v="660"/>
    <x v="141"/>
    <x v="28"/>
    <x v="7"/>
    <x v="0"/>
  </r>
  <r>
    <d v="2021-08-30T00:00:00"/>
    <x v="2"/>
    <n v="13"/>
    <x v="2"/>
    <x v="0"/>
    <n v="0"/>
    <x v="2"/>
    <x v="2"/>
    <x v="1"/>
    <n v="112"/>
    <n v="122.08"/>
    <n v="1456"/>
    <x v="154"/>
    <x v="24"/>
    <x v="7"/>
    <x v="0"/>
  </r>
  <r>
    <d v="2021-08-31T00:00:00"/>
    <x v="16"/>
    <n v="2"/>
    <x v="2"/>
    <x v="0"/>
    <n v="0"/>
    <x v="16"/>
    <x v="3"/>
    <x v="1"/>
    <n v="98"/>
    <n v="103.88"/>
    <n v="196"/>
    <x v="155"/>
    <x v="25"/>
    <x v="7"/>
    <x v="0"/>
  </r>
  <r>
    <d v="2021-08-31T00:00:00"/>
    <x v="4"/>
    <n v="11"/>
    <x v="2"/>
    <x v="0"/>
    <n v="0"/>
    <x v="4"/>
    <x v="4"/>
    <x v="3"/>
    <n v="5"/>
    <n v="6.7"/>
    <n v="55"/>
    <x v="156"/>
    <x v="25"/>
    <x v="7"/>
    <x v="0"/>
  </r>
  <r>
    <d v="2021-09-01T00:00:00"/>
    <x v="0"/>
    <n v="1"/>
    <x v="0"/>
    <x v="1"/>
    <n v="0"/>
    <x v="0"/>
    <x v="0"/>
    <x v="0"/>
    <n v="144"/>
    <n v="156.96"/>
    <n v="144"/>
    <x v="157"/>
    <x v="0"/>
    <x v="8"/>
    <x v="0"/>
  </r>
  <r>
    <d v="2021-09-01T00:00:00"/>
    <x v="6"/>
    <n v="14"/>
    <x v="1"/>
    <x v="0"/>
    <n v="0"/>
    <x v="6"/>
    <x v="3"/>
    <x v="1"/>
    <n v="71"/>
    <n v="80.94"/>
    <n v="994"/>
    <x v="158"/>
    <x v="0"/>
    <x v="8"/>
    <x v="0"/>
  </r>
  <r>
    <d v="2021-09-03T00:00:00"/>
    <x v="41"/>
    <n v="8"/>
    <x v="2"/>
    <x v="0"/>
    <n v="0"/>
    <x v="41"/>
    <x v="1"/>
    <x v="0"/>
    <n v="138"/>
    <n v="173.88"/>
    <n v="1104"/>
    <x v="159"/>
    <x v="2"/>
    <x v="8"/>
    <x v="0"/>
  </r>
  <r>
    <d v="2021-09-04T00:00:00"/>
    <x v="33"/>
    <n v="7"/>
    <x v="2"/>
    <x v="0"/>
    <n v="0"/>
    <x v="33"/>
    <x v="4"/>
    <x v="3"/>
    <n v="37"/>
    <n v="41.81"/>
    <n v="259"/>
    <x v="160"/>
    <x v="3"/>
    <x v="8"/>
    <x v="0"/>
  </r>
  <r>
    <d v="2021-09-04T00:00:00"/>
    <x v="12"/>
    <n v="15"/>
    <x v="2"/>
    <x v="0"/>
    <n v="0"/>
    <x v="12"/>
    <x v="0"/>
    <x v="0"/>
    <n v="141"/>
    <n v="149.46"/>
    <n v="2115"/>
    <x v="161"/>
    <x v="3"/>
    <x v="8"/>
    <x v="0"/>
  </r>
  <r>
    <d v="2021-09-05T00:00:00"/>
    <x v="18"/>
    <n v="1"/>
    <x v="2"/>
    <x v="1"/>
    <n v="0"/>
    <x v="18"/>
    <x v="4"/>
    <x v="1"/>
    <n v="89"/>
    <n v="117.48"/>
    <n v="89"/>
    <x v="162"/>
    <x v="15"/>
    <x v="8"/>
    <x v="0"/>
  </r>
  <r>
    <d v="2021-09-07T00:00:00"/>
    <x v="40"/>
    <n v="5"/>
    <x v="2"/>
    <x v="0"/>
    <n v="0"/>
    <x v="40"/>
    <x v="2"/>
    <x v="0"/>
    <n v="150"/>
    <n v="210"/>
    <n v="750"/>
    <x v="115"/>
    <x v="20"/>
    <x v="8"/>
    <x v="0"/>
  </r>
  <r>
    <d v="2021-09-09T00:00:00"/>
    <x v="11"/>
    <n v="4"/>
    <x v="2"/>
    <x v="0"/>
    <n v="0"/>
    <x v="11"/>
    <x v="1"/>
    <x v="1"/>
    <n v="76"/>
    <n v="82.08"/>
    <n v="304"/>
    <x v="163"/>
    <x v="4"/>
    <x v="8"/>
    <x v="0"/>
  </r>
  <r>
    <d v="2021-09-10T00:00:00"/>
    <x v="28"/>
    <n v="6"/>
    <x v="2"/>
    <x v="0"/>
    <n v="0"/>
    <x v="28"/>
    <x v="4"/>
    <x v="0"/>
    <n v="148"/>
    <n v="201.28"/>
    <n v="888"/>
    <x v="164"/>
    <x v="26"/>
    <x v="8"/>
    <x v="0"/>
  </r>
  <r>
    <d v="2021-09-10T00:00:00"/>
    <x v="16"/>
    <n v="9"/>
    <x v="0"/>
    <x v="0"/>
    <n v="0"/>
    <x v="16"/>
    <x v="3"/>
    <x v="1"/>
    <n v="98"/>
    <n v="103.88"/>
    <n v="882"/>
    <x v="165"/>
    <x v="26"/>
    <x v="8"/>
    <x v="0"/>
  </r>
  <r>
    <d v="2021-09-10T00:00:00"/>
    <x v="42"/>
    <n v="2"/>
    <x v="2"/>
    <x v="0"/>
    <n v="0"/>
    <x v="42"/>
    <x v="4"/>
    <x v="3"/>
    <n v="18"/>
    <n v="24.66"/>
    <n v="36"/>
    <x v="166"/>
    <x v="26"/>
    <x v="8"/>
    <x v="0"/>
  </r>
  <r>
    <d v="2021-09-11T00:00:00"/>
    <x v="16"/>
    <n v="6"/>
    <x v="0"/>
    <x v="0"/>
    <n v="0"/>
    <x v="16"/>
    <x v="3"/>
    <x v="1"/>
    <n v="98"/>
    <n v="103.88"/>
    <n v="588"/>
    <x v="167"/>
    <x v="5"/>
    <x v="8"/>
    <x v="0"/>
  </r>
  <r>
    <d v="2021-09-13T00:00:00"/>
    <x v="41"/>
    <n v="7"/>
    <x v="2"/>
    <x v="1"/>
    <n v="0"/>
    <x v="41"/>
    <x v="1"/>
    <x v="0"/>
    <n v="138"/>
    <n v="173.88"/>
    <n v="966"/>
    <x v="168"/>
    <x v="22"/>
    <x v="8"/>
    <x v="0"/>
  </r>
  <r>
    <d v="2021-09-15T00:00:00"/>
    <x v="10"/>
    <n v="6"/>
    <x v="2"/>
    <x v="0"/>
    <n v="0"/>
    <x v="10"/>
    <x v="1"/>
    <x v="0"/>
    <n v="120"/>
    <n v="162"/>
    <n v="720"/>
    <x v="19"/>
    <x v="17"/>
    <x v="8"/>
    <x v="0"/>
  </r>
  <r>
    <d v="2021-09-15T00:00:00"/>
    <x v="10"/>
    <n v="14"/>
    <x v="2"/>
    <x v="0"/>
    <n v="0"/>
    <x v="10"/>
    <x v="1"/>
    <x v="0"/>
    <n v="120"/>
    <n v="162"/>
    <n v="1680"/>
    <x v="169"/>
    <x v="17"/>
    <x v="8"/>
    <x v="0"/>
  </r>
  <r>
    <d v="2021-09-21T00:00:00"/>
    <x v="14"/>
    <n v="7"/>
    <x v="0"/>
    <x v="1"/>
    <n v="0"/>
    <x v="14"/>
    <x v="0"/>
    <x v="2"/>
    <n v="61"/>
    <n v="76.25"/>
    <n v="427"/>
    <x v="170"/>
    <x v="10"/>
    <x v="8"/>
    <x v="0"/>
  </r>
  <r>
    <d v="2021-09-22T00:00:00"/>
    <x v="17"/>
    <n v="2"/>
    <x v="1"/>
    <x v="1"/>
    <n v="0"/>
    <x v="17"/>
    <x v="1"/>
    <x v="1"/>
    <n v="90"/>
    <n v="115.2"/>
    <n v="180"/>
    <x v="171"/>
    <x v="18"/>
    <x v="8"/>
    <x v="0"/>
  </r>
  <r>
    <d v="2021-09-22T00:00:00"/>
    <x v="29"/>
    <n v="4"/>
    <x v="2"/>
    <x v="1"/>
    <n v="0"/>
    <x v="29"/>
    <x v="3"/>
    <x v="1"/>
    <n v="105"/>
    <n v="142.80000000000001"/>
    <n v="420"/>
    <x v="47"/>
    <x v="18"/>
    <x v="8"/>
    <x v="0"/>
  </r>
  <r>
    <d v="2021-09-23T00:00:00"/>
    <x v="30"/>
    <n v="12"/>
    <x v="2"/>
    <x v="1"/>
    <n v="0"/>
    <x v="30"/>
    <x v="2"/>
    <x v="3"/>
    <n v="37"/>
    <n v="49.21"/>
    <n v="444"/>
    <x v="172"/>
    <x v="19"/>
    <x v="8"/>
    <x v="0"/>
  </r>
  <r>
    <d v="2021-09-23T00:00:00"/>
    <x v="32"/>
    <n v="7"/>
    <x v="1"/>
    <x v="0"/>
    <n v="0"/>
    <x v="32"/>
    <x v="0"/>
    <x v="0"/>
    <n v="126"/>
    <n v="162.54"/>
    <n v="882"/>
    <x v="173"/>
    <x v="19"/>
    <x v="8"/>
    <x v="0"/>
  </r>
  <r>
    <d v="2021-09-27T00:00:00"/>
    <x v="13"/>
    <n v="1"/>
    <x v="2"/>
    <x v="1"/>
    <n v="0"/>
    <x v="13"/>
    <x v="4"/>
    <x v="2"/>
    <n v="55"/>
    <n v="58.3"/>
    <n v="55"/>
    <x v="174"/>
    <x v="13"/>
    <x v="8"/>
    <x v="0"/>
  </r>
  <r>
    <d v="2021-09-30T00:00:00"/>
    <x v="9"/>
    <n v="9"/>
    <x v="1"/>
    <x v="0"/>
    <n v="0"/>
    <x v="9"/>
    <x v="2"/>
    <x v="1"/>
    <n v="112"/>
    <n v="146.72"/>
    <n v="1008"/>
    <x v="175"/>
    <x v="24"/>
    <x v="8"/>
    <x v="0"/>
  </r>
  <r>
    <d v="2021-09-30T00:00:00"/>
    <x v="15"/>
    <n v="5"/>
    <x v="1"/>
    <x v="0"/>
    <n v="0"/>
    <x v="15"/>
    <x v="3"/>
    <x v="1"/>
    <n v="75"/>
    <n v="85.5"/>
    <n v="375"/>
    <x v="176"/>
    <x v="24"/>
    <x v="8"/>
    <x v="0"/>
  </r>
  <r>
    <d v="2021-10-01T00:00:00"/>
    <x v="28"/>
    <n v="14"/>
    <x v="1"/>
    <x v="1"/>
    <n v="0"/>
    <x v="28"/>
    <x v="4"/>
    <x v="0"/>
    <n v="148"/>
    <n v="201.28"/>
    <n v="2072"/>
    <x v="177"/>
    <x v="0"/>
    <x v="9"/>
    <x v="0"/>
  </r>
  <r>
    <d v="2021-10-02T00:00:00"/>
    <x v="9"/>
    <n v="15"/>
    <x v="2"/>
    <x v="0"/>
    <n v="0"/>
    <x v="9"/>
    <x v="2"/>
    <x v="1"/>
    <n v="112"/>
    <n v="146.72"/>
    <n v="1680"/>
    <x v="178"/>
    <x v="1"/>
    <x v="9"/>
    <x v="0"/>
  </r>
  <r>
    <d v="2021-10-03T00:00:00"/>
    <x v="40"/>
    <n v="9"/>
    <x v="2"/>
    <x v="0"/>
    <n v="0"/>
    <x v="40"/>
    <x v="2"/>
    <x v="0"/>
    <n v="150"/>
    <n v="210"/>
    <n v="1350"/>
    <x v="179"/>
    <x v="2"/>
    <x v="9"/>
    <x v="0"/>
  </r>
  <r>
    <d v="2021-10-06T00:00:00"/>
    <x v="4"/>
    <n v="1"/>
    <x v="2"/>
    <x v="0"/>
    <n v="0"/>
    <x v="4"/>
    <x v="4"/>
    <x v="3"/>
    <n v="5"/>
    <n v="6.7"/>
    <n v="5"/>
    <x v="37"/>
    <x v="16"/>
    <x v="9"/>
    <x v="0"/>
  </r>
  <r>
    <d v="2021-10-06T00:00:00"/>
    <x v="43"/>
    <n v="12"/>
    <x v="1"/>
    <x v="0"/>
    <n v="0"/>
    <x v="43"/>
    <x v="4"/>
    <x v="1"/>
    <n v="90"/>
    <n v="96.3"/>
    <n v="1080"/>
    <x v="180"/>
    <x v="16"/>
    <x v="9"/>
    <x v="0"/>
  </r>
  <r>
    <d v="2021-10-07T00:00:00"/>
    <x v="42"/>
    <n v="6"/>
    <x v="2"/>
    <x v="1"/>
    <n v="0"/>
    <x v="42"/>
    <x v="4"/>
    <x v="3"/>
    <n v="18"/>
    <n v="24.66"/>
    <n v="108"/>
    <x v="181"/>
    <x v="20"/>
    <x v="9"/>
    <x v="0"/>
  </r>
  <r>
    <d v="2021-10-09T00:00:00"/>
    <x v="1"/>
    <n v="5"/>
    <x v="2"/>
    <x v="1"/>
    <n v="0"/>
    <x v="1"/>
    <x v="1"/>
    <x v="1"/>
    <n v="72"/>
    <n v="79.92"/>
    <n v="360"/>
    <x v="182"/>
    <x v="4"/>
    <x v="9"/>
    <x v="0"/>
  </r>
  <r>
    <d v="2021-10-09T00:00:00"/>
    <x v="18"/>
    <n v="11"/>
    <x v="1"/>
    <x v="1"/>
    <n v="0"/>
    <x v="18"/>
    <x v="4"/>
    <x v="1"/>
    <n v="89"/>
    <n v="117.48"/>
    <n v="979"/>
    <x v="48"/>
    <x v="4"/>
    <x v="9"/>
    <x v="0"/>
  </r>
  <r>
    <d v="2021-10-10T00:00:00"/>
    <x v="4"/>
    <n v="14"/>
    <x v="2"/>
    <x v="1"/>
    <n v="0"/>
    <x v="4"/>
    <x v="4"/>
    <x v="3"/>
    <n v="5"/>
    <n v="6.7"/>
    <n v="70"/>
    <x v="183"/>
    <x v="26"/>
    <x v="9"/>
    <x v="0"/>
  </r>
  <r>
    <d v="2021-10-11T00:00:00"/>
    <x v="31"/>
    <n v="15"/>
    <x v="2"/>
    <x v="1"/>
    <n v="0"/>
    <x v="31"/>
    <x v="2"/>
    <x v="2"/>
    <n v="44"/>
    <n v="48.4"/>
    <n v="660"/>
    <x v="184"/>
    <x v="5"/>
    <x v="9"/>
    <x v="0"/>
  </r>
  <r>
    <d v="2021-10-12T00:00:00"/>
    <x v="26"/>
    <n v="8"/>
    <x v="1"/>
    <x v="0"/>
    <n v="0"/>
    <x v="26"/>
    <x v="4"/>
    <x v="2"/>
    <n v="48"/>
    <n v="57.120000000000005"/>
    <n v="384"/>
    <x v="185"/>
    <x v="6"/>
    <x v="9"/>
    <x v="0"/>
  </r>
  <r>
    <d v="2021-10-17T00:00:00"/>
    <x v="16"/>
    <n v="13"/>
    <x v="2"/>
    <x v="0"/>
    <n v="0"/>
    <x v="16"/>
    <x v="3"/>
    <x v="1"/>
    <n v="98"/>
    <n v="103.88"/>
    <n v="1274"/>
    <x v="186"/>
    <x v="30"/>
    <x v="9"/>
    <x v="0"/>
  </r>
  <r>
    <d v="2021-10-18T00:00:00"/>
    <x v="7"/>
    <n v="6"/>
    <x v="1"/>
    <x v="1"/>
    <n v="0"/>
    <x v="7"/>
    <x v="0"/>
    <x v="3"/>
    <n v="7"/>
    <n v="8.33"/>
    <n v="42"/>
    <x v="149"/>
    <x v="7"/>
    <x v="9"/>
    <x v="0"/>
  </r>
  <r>
    <d v="2021-10-18T00:00:00"/>
    <x v="32"/>
    <n v="13"/>
    <x v="1"/>
    <x v="1"/>
    <n v="0"/>
    <x v="32"/>
    <x v="0"/>
    <x v="0"/>
    <n v="126"/>
    <n v="162.54"/>
    <n v="1638"/>
    <x v="187"/>
    <x v="7"/>
    <x v="9"/>
    <x v="0"/>
  </r>
  <r>
    <d v="2021-10-22T00:00:00"/>
    <x v="31"/>
    <n v="7"/>
    <x v="2"/>
    <x v="1"/>
    <n v="0"/>
    <x v="31"/>
    <x v="2"/>
    <x v="2"/>
    <n v="44"/>
    <n v="48.4"/>
    <n v="308"/>
    <x v="188"/>
    <x v="18"/>
    <x v="9"/>
    <x v="0"/>
  </r>
  <r>
    <d v="2021-10-22T00:00:00"/>
    <x v="0"/>
    <n v="13"/>
    <x v="1"/>
    <x v="1"/>
    <n v="0"/>
    <x v="0"/>
    <x v="0"/>
    <x v="0"/>
    <n v="144"/>
    <n v="156.96"/>
    <n v="1872"/>
    <x v="189"/>
    <x v="18"/>
    <x v="9"/>
    <x v="0"/>
  </r>
  <r>
    <d v="2021-10-22T00:00:00"/>
    <x v="37"/>
    <n v="1"/>
    <x v="2"/>
    <x v="1"/>
    <n v="0"/>
    <x v="37"/>
    <x v="3"/>
    <x v="3"/>
    <n v="6"/>
    <n v="7.8599999999999994"/>
    <n v="6"/>
    <x v="190"/>
    <x v="18"/>
    <x v="9"/>
    <x v="0"/>
  </r>
  <r>
    <d v="2021-10-24T00:00:00"/>
    <x v="31"/>
    <n v="3"/>
    <x v="0"/>
    <x v="1"/>
    <n v="0"/>
    <x v="31"/>
    <x v="2"/>
    <x v="2"/>
    <n v="44"/>
    <n v="48.4"/>
    <n v="132"/>
    <x v="191"/>
    <x v="27"/>
    <x v="9"/>
    <x v="0"/>
  </r>
  <r>
    <d v="2021-10-25T00:00:00"/>
    <x v="11"/>
    <n v="9"/>
    <x v="1"/>
    <x v="1"/>
    <n v="0"/>
    <x v="11"/>
    <x v="1"/>
    <x v="1"/>
    <n v="76"/>
    <n v="82.08"/>
    <n v="684"/>
    <x v="23"/>
    <x v="11"/>
    <x v="9"/>
    <x v="0"/>
  </r>
  <r>
    <d v="2021-10-26T00:00:00"/>
    <x v="3"/>
    <n v="6"/>
    <x v="0"/>
    <x v="1"/>
    <n v="0"/>
    <x v="3"/>
    <x v="3"/>
    <x v="2"/>
    <n v="44"/>
    <n v="48.84"/>
    <n v="264"/>
    <x v="192"/>
    <x v="12"/>
    <x v="9"/>
    <x v="0"/>
  </r>
  <r>
    <d v="2021-10-28T00:00:00"/>
    <x v="25"/>
    <n v="1"/>
    <x v="2"/>
    <x v="1"/>
    <n v="0"/>
    <x v="25"/>
    <x v="3"/>
    <x v="1"/>
    <n v="83"/>
    <n v="94.62"/>
    <n v="83"/>
    <x v="193"/>
    <x v="14"/>
    <x v="9"/>
    <x v="0"/>
  </r>
  <r>
    <d v="2021-10-29T00:00:00"/>
    <x v="1"/>
    <n v="14"/>
    <x v="1"/>
    <x v="0"/>
    <n v="0"/>
    <x v="1"/>
    <x v="1"/>
    <x v="1"/>
    <n v="72"/>
    <n v="79.92"/>
    <n v="1008"/>
    <x v="194"/>
    <x v="28"/>
    <x v="9"/>
    <x v="0"/>
  </r>
  <r>
    <d v="2021-10-31T00:00:00"/>
    <x v="32"/>
    <n v="6"/>
    <x v="1"/>
    <x v="1"/>
    <n v="0"/>
    <x v="32"/>
    <x v="0"/>
    <x v="0"/>
    <n v="126"/>
    <n v="162.54"/>
    <n v="756"/>
    <x v="195"/>
    <x v="25"/>
    <x v="9"/>
    <x v="0"/>
  </r>
  <r>
    <d v="2021-11-03T00:00:00"/>
    <x v="2"/>
    <n v="12"/>
    <x v="2"/>
    <x v="1"/>
    <n v="0"/>
    <x v="2"/>
    <x v="2"/>
    <x v="1"/>
    <n v="112"/>
    <n v="122.08"/>
    <n v="1344"/>
    <x v="196"/>
    <x v="2"/>
    <x v="10"/>
    <x v="0"/>
  </r>
  <r>
    <d v="2021-11-06T00:00:00"/>
    <x v="43"/>
    <n v="10"/>
    <x v="2"/>
    <x v="0"/>
    <n v="0"/>
    <x v="43"/>
    <x v="4"/>
    <x v="1"/>
    <n v="90"/>
    <n v="96.3"/>
    <n v="900"/>
    <x v="197"/>
    <x v="16"/>
    <x v="10"/>
    <x v="0"/>
  </r>
  <r>
    <d v="2021-11-08T00:00:00"/>
    <x v="36"/>
    <n v="15"/>
    <x v="2"/>
    <x v="0"/>
    <n v="0"/>
    <x v="36"/>
    <x v="3"/>
    <x v="2"/>
    <n v="43"/>
    <n v="47.730000000000004"/>
    <n v="645"/>
    <x v="198"/>
    <x v="21"/>
    <x v="10"/>
    <x v="0"/>
  </r>
  <r>
    <d v="2021-11-10T00:00:00"/>
    <x v="10"/>
    <n v="6"/>
    <x v="1"/>
    <x v="1"/>
    <n v="0"/>
    <x v="10"/>
    <x v="1"/>
    <x v="0"/>
    <n v="120"/>
    <n v="162"/>
    <n v="720"/>
    <x v="19"/>
    <x v="26"/>
    <x v="10"/>
    <x v="0"/>
  </r>
  <r>
    <d v="2021-11-11T00:00:00"/>
    <x v="17"/>
    <n v="12"/>
    <x v="0"/>
    <x v="0"/>
    <n v="0"/>
    <x v="17"/>
    <x v="1"/>
    <x v="1"/>
    <n v="90"/>
    <n v="115.2"/>
    <n v="1080"/>
    <x v="199"/>
    <x v="5"/>
    <x v="10"/>
    <x v="0"/>
  </r>
  <r>
    <d v="2021-11-12T00:00:00"/>
    <x v="20"/>
    <n v="3"/>
    <x v="1"/>
    <x v="1"/>
    <n v="0"/>
    <x v="20"/>
    <x v="2"/>
    <x v="0"/>
    <n v="148"/>
    <n v="164.28"/>
    <n v="444"/>
    <x v="200"/>
    <x v="6"/>
    <x v="10"/>
    <x v="0"/>
  </r>
  <r>
    <d v="2021-11-20T00:00:00"/>
    <x v="13"/>
    <n v="14"/>
    <x v="1"/>
    <x v="0"/>
    <n v="0"/>
    <x v="13"/>
    <x v="4"/>
    <x v="2"/>
    <n v="55"/>
    <n v="58.3"/>
    <n v="770"/>
    <x v="38"/>
    <x v="9"/>
    <x v="10"/>
    <x v="0"/>
  </r>
  <r>
    <d v="2021-11-20T00:00:00"/>
    <x v="25"/>
    <n v="11"/>
    <x v="1"/>
    <x v="1"/>
    <n v="0"/>
    <x v="25"/>
    <x v="3"/>
    <x v="1"/>
    <n v="83"/>
    <n v="94.62"/>
    <n v="913"/>
    <x v="201"/>
    <x v="9"/>
    <x v="10"/>
    <x v="0"/>
  </r>
  <r>
    <d v="2021-11-21T00:00:00"/>
    <x v="9"/>
    <n v="1"/>
    <x v="0"/>
    <x v="0"/>
    <n v="0"/>
    <x v="9"/>
    <x v="2"/>
    <x v="1"/>
    <n v="112"/>
    <n v="146.72"/>
    <n v="112"/>
    <x v="202"/>
    <x v="10"/>
    <x v="10"/>
    <x v="0"/>
  </r>
  <r>
    <d v="2021-11-21T00:00:00"/>
    <x v="15"/>
    <n v="1"/>
    <x v="1"/>
    <x v="1"/>
    <n v="0"/>
    <x v="15"/>
    <x v="3"/>
    <x v="1"/>
    <n v="75"/>
    <n v="85.5"/>
    <n v="75"/>
    <x v="203"/>
    <x v="10"/>
    <x v="10"/>
    <x v="0"/>
  </r>
  <r>
    <d v="2021-11-27T00:00:00"/>
    <x v="35"/>
    <n v="8"/>
    <x v="1"/>
    <x v="0"/>
    <n v="0"/>
    <x v="35"/>
    <x v="2"/>
    <x v="1"/>
    <n v="73"/>
    <n v="94.17"/>
    <n v="584"/>
    <x v="204"/>
    <x v="13"/>
    <x v="10"/>
    <x v="0"/>
  </r>
  <r>
    <d v="2021-11-28T00:00:00"/>
    <x v="17"/>
    <n v="2"/>
    <x v="2"/>
    <x v="1"/>
    <n v="0"/>
    <x v="17"/>
    <x v="1"/>
    <x v="1"/>
    <n v="90"/>
    <n v="115.2"/>
    <n v="180"/>
    <x v="171"/>
    <x v="14"/>
    <x v="10"/>
    <x v="0"/>
  </r>
  <r>
    <d v="2021-11-30T00:00:00"/>
    <x v="34"/>
    <n v="15"/>
    <x v="2"/>
    <x v="0"/>
    <n v="0"/>
    <x v="34"/>
    <x v="1"/>
    <x v="3"/>
    <n v="37"/>
    <n v="42.55"/>
    <n v="555"/>
    <x v="205"/>
    <x v="24"/>
    <x v="10"/>
    <x v="0"/>
  </r>
  <r>
    <d v="2021-12-02T00:00:00"/>
    <x v="21"/>
    <n v="10"/>
    <x v="2"/>
    <x v="1"/>
    <n v="0"/>
    <x v="21"/>
    <x v="2"/>
    <x v="3"/>
    <n v="13"/>
    <n v="16.64"/>
    <n v="130"/>
    <x v="206"/>
    <x v="1"/>
    <x v="11"/>
    <x v="0"/>
  </r>
  <r>
    <d v="2021-12-03T00:00:00"/>
    <x v="13"/>
    <n v="2"/>
    <x v="1"/>
    <x v="1"/>
    <n v="0"/>
    <x v="13"/>
    <x v="4"/>
    <x v="2"/>
    <n v="55"/>
    <n v="58.3"/>
    <n v="110"/>
    <x v="207"/>
    <x v="2"/>
    <x v="11"/>
    <x v="0"/>
  </r>
  <r>
    <d v="2021-12-03T00:00:00"/>
    <x v="40"/>
    <n v="8"/>
    <x v="1"/>
    <x v="0"/>
    <n v="0"/>
    <x v="40"/>
    <x v="2"/>
    <x v="0"/>
    <n v="150"/>
    <n v="210"/>
    <n v="1200"/>
    <x v="208"/>
    <x v="2"/>
    <x v="11"/>
    <x v="0"/>
  </r>
  <r>
    <d v="2021-12-05T00:00:00"/>
    <x v="3"/>
    <n v="15"/>
    <x v="2"/>
    <x v="1"/>
    <n v="0"/>
    <x v="3"/>
    <x v="3"/>
    <x v="2"/>
    <n v="44"/>
    <n v="48.84"/>
    <n v="660"/>
    <x v="17"/>
    <x v="15"/>
    <x v="11"/>
    <x v="0"/>
  </r>
  <r>
    <d v="2021-12-05T00:00:00"/>
    <x v="20"/>
    <n v="1"/>
    <x v="2"/>
    <x v="0"/>
    <n v="0"/>
    <x v="20"/>
    <x v="2"/>
    <x v="0"/>
    <n v="148"/>
    <n v="164.28"/>
    <n v="148"/>
    <x v="209"/>
    <x v="15"/>
    <x v="11"/>
    <x v="0"/>
  </r>
  <r>
    <d v="2021-12-07T00:00:00"/>
    <x v="2"/>
    <n v="8"/>
    <x v="2"/>
    <x v="0"/>
    <n v="0"/>
    <x v="2"/>
    <x v="2"/>
    <x v="1"/>
    <n v="112"/>
    <n v="122.08"/>
    <n v="896"/>
    <x v="210"/>
    <x v="20"/>
    <x v="11"/>
    <x v="0"/>
  </r>
  <r>
    <d v="2021-12-08T00:00:00"/>
    <x v="11"/>
    <n v="14"/>
    <x v="2"/>
    <x v="0"/>
    <n v="0"/>
    <x v="11"/>
    <x v="1"/>
    <x v="1"/>
    <n v="76"/>
    <n v="82.08"/>
    <n v="1064"/>
    <x v="211"/>
    <x v="21"/>
    <x v="11"/>
    <x v="0"/>
  </r>
  <r>
    <d v="2021-12-14T00:00:00"/>
    <x v="10"/>
    <n v="4"/>
    <x v="2"/>
    <x v="0"/>
    <n v="0"/>
    <x v="10"/>
    <x v="1"/>
    <x v="0"/>
    <n v="120"/>
    <n v="162"/>
    <n v="480"/>
    <x v="10"/>
    <x v="29"/>
    <x v="11"/>
    <x v="0"/>
  </r>
  <r>
    <d v="2021-12-18T00:00:00"/>
    <x v="6"/>
    <n v="2"/>
    <x v="2"/>
    <x v="1"/>
    <n v="0"/>
    <x v="6"/>
    <x v="3"/>
    <x v="1"/>
    <n v="71"/>
    <n v="80.94"/>
    <n v="142"/>
    <x v="212"/>
    <x v="7"/>
    <x v="11"/>
    <x v="0"/>
  </r>
  <r>
    <d v="2021-12-18T00:00:00"/>
    <x v="22"/>
    <n v="8"/>
    <x v="1"/>
    <x v="1"/>
    <n v="0"/>
    <x v="22"/>
    <x v="0"/>
    <x v="0"/>
    <n v="121"/>
    <n v="141.57"/>
    <n v="968"/>
    <x v="213"/>
    <x v="7"/>
    <x v="11"/>
    <x v="0"/>
  </r>
  <r>
    <d v="2021-12-19T00:00:00"/>
    <x v="12"/>
    <n v="12"/>
    <x v="2"/>
    <x v="0"/>
    <n v="0"/>
    <x v="12"/>
    <x v="0"/>
    <x v="0"/>
    <n v="141"/>
    <n v="149.46"/>
    <n v="1692"/>
    <x v="214"/>
    <x v="8"/>
    <x v="11"/>
    <x v="0"/>
  </r>
  <r>
    <d v="2021-12-19T00:00:00"/>
    <x v="19"/>
    <n v="3"/>
    <x v="0"/>
    <x v="0"/>
    <n v="0"/>
    <x v="19"/>
    <x v="4"/>
    <x v="2"/>
    <n v="47"/>
    <n v="53.11"/>
    <n v="141"/>
    <x v="215"/>
    <x v="8"/>
    <x v="11"/>
    <x v="0"/>
  </r>
  <r>
    <d v="2021-12-19T00:00:00"/>
    <x v="31"/>
    <n v="10"/>
    <x v="1"/>
    <x v="0"/>
    <n v="0"/>
    <x v="31"/>
    <x v="2"/>
    <x v="2"/>
    <n v="44"/>
    <n v="48.4"/>
    <n v="440"/>
    <x v="216"/>
    <x v="8"/>
    <x v="11"/>
    <x v="0"/>
  </r>
  <r>
    <d v="2021-12-20T00:00:00"/>
    <x v="35"/>
    <n v="14"/>
    <x v="2"/>
    <x v="0"/>
    <n v="0"/>
    <x v="35"/>
    <x v="2"/>
    <x v="1"/>
    <n v="73"/>
    <n v="94.17"/>
    <n v="1022"/>
    <x v="58"/>
    <x v="9"/>
    <x v="11"/>
    <x v="0"/>
  </r>
  <r>
    <d v="2021-12-21T00:00:00"/>
    <x v="42"/>
    <n v="10"/>
    <x v="1"/>
    <x v="1"/>
    <n v="0"/>
    <x v="42"/>
    <x v="4"/>
    <x v="3"/>
    <n v="18"/>
    <n v="24.66"/>
    <n v="180"/>
    <x v="217"/>
    <x v="10"/>
    <x v="11"/>
    <x v="0"/>
  </r>
  <r>
    <d v="2021-12-24T00:00:00"/>
    <x v="10"/>
    <n v="8"/>
    <x v="0"/>
    <x v="1"/>
    <n v="0"/>
    <x v="10"/>
    <x v="1"/>
    <x v="0"/>
    <n v="120"/>
    <n v="162"/>
    <n v="960"/>
    <x v="59"/>
    <x v="27"/>
    <x v="11"/>
    <x v="0"/>
  </r>
  <r>
    <d v="2021-12-24T00:00:00"/>
    <x v="43"/>
    <n v="8"/>
    <x v="0"/>
    <x v="0"/>
    <n v="0"/>
    <x v="43"/>
    <x v="4"/>
    <x v="1"/>
    <n v="90"/>
    <n v="96.3"/>
    <n v="720"/>
    <x v="218"/>
    <x v="27"/>
    <x v="11"/>
    <x v="0"/>
  </r>
  <r>
    <d v="2021-12-26T00:00:00"/>
    <x v="41"/>
    <n v="14"/>
    <x v="1"/>
    <x v="1"/>
    <n v="0"/>
    <x v="41"/>
    <x v="1"/>
    <x v="0"/>
    <n v="138"/>
    <n v="173.88"/>
    <n v="1932"/>
    <x v="219"/>
    <x v="12"/>
    <x v="11"/>
    <x v="0"/>
  </r>
  <r>
    <d v="2021-12-27T00:00:00"/>
    <x v="19"/>
    <n v="14"/>
    <x v="2"/>
    <x v="1"/>
    <n v="0"/>
    <x v="19"/>
    <x v="4"/>
    <x v="2"/>
    <n v="47"/>
    <n v="53.11"/>
    <n v="658"/>
    <x v="220"/>
    <x v="13"/>
    <x v="11"/>
    <x v="0"/>
  </r>
  <r>
    <d v="2021-12-28T00:00:00"/>
    <x v="19"/>
    <n v="6"/>
    <x v="2"/>
    <x v="1"/>
    <n v="0"/>
    <x v="19"/>
    <x v="4"/>
    <x v="2"/>
    <n v="47"/>
    <n v="53.11"/>
    <n v="282"/>
    <x v="54"/>
    <x v="14"/>
    <x v="11"/>
    <x v="0"/>
  </r>
  <r>
    <d v="2021-12-30T00:00:00"/>
    <x v="20"/>
    <n v="13"/>
    <x v="1"/>
    <x v="0"/>
    <n v="0"/>
    <x v="20"/>
    <x v="2"/>
    <x v="0"/>
    <n v="148"/>
    <n v="164.28"/>
    <n v="1924"/>
    <x v="221"/>
    <x v="24"/>
    <x v="11"/>
    <x v="0"/>
  </r>
  <r>
    <d v="2022-01-01T00:00:00"/>
    <x v="22"/>
    <n v="1"/>
    <x v="0"/>
    <x v="1"/>
    <n v="0"/>
    <x v="22"/>
    <x v="0"/>
    <x v="0"/>
    <n v="121"/>
    <n v="141.57"/>
    <n v="121"/>
    <x v="222"/>
    <x v="0"/>
    <x v="0"/>
    <x v="1"/>
  </r>
  <r>
    <d v="2022-01-02T00:00:00"/>
    <x v="20"/>
    <n v="7"/>
    <x v="2"/>
    <x v="1"/>
    <n v="0"/>
    <x v="20"/>
    <x v="2"/>
    <x v="0"/>
    <n v="148"/>
    <n v="164.28"/>
    <n v="1036"/>
    <x v="30"/>
    <x v="1"/>
    <x v="0"/>
    <x v="1"/>
  </r>
  <r>
    <d v="2022-01-02T00:00:00"/>
    <x v="27"/>
    <n v="2"/>
    <x v="1"/>
    <x v="1"/>
    <n v="0"/>
    <x v="27"/>
    <x v="2"/>
    <x v="3"/>
    <n v="12"/>
    <n v="15.719999999999999"/>
    <n v="24"/>
    <x v="128"/>
    <x v="1"/>
    <x v="0"/>
    <x v="1"/>
  </r>
  <r>
    <d v="2022-01-02T00:00:00"/>
    <x v="38"/>
    <n v="1"/>
    <x v="2"/>
    <x v="1"/>
    <n v="0"/>
    <x v="38"/>
    <x v="4"/>
    <x v="1"/>
    <n v="95"/>
    <n v="119.7"/>
    <n v="95"/>
    <x v="223"/>
    <x v="1"/>
    <x v="0"/>
    <x v="1"/>
  </r>
  <r>
    <d v="2022-01-03T00:00:00"/>
    <x v="23"/>
    <n v="9"/>
    <x v="2"/>
    <x v="1"/>
    <n v="0"/>
    <x v="23"/>
    <x v="1"/>
    <x v="1"/>
    <n v="67"/>
    <n v="83.08"/>
    <n v="603"/>
    <x v="36"/>
    <x v="2"/>
    <x v="0"/>
    <x v="1"/>
  </r>
  <r>
    <d v="2022-01-04T00:00:00"/>
    <x v="35"/>
    <n v="8"/>
    <x v="2"/>
    <x v="0"/>
    <n v="0"/>
    <x v="35"/>
    <x v="2"/>
    <x v="1"/>
    <n v="73"/>
    <n v="94.17"/>
    <n v="584"/>
    <x v="204"/>
    <x v="3"/>
    <x v="0"/>
    <x v="1"/>
  </r>
  <r>
    <d v="2022-01-04T00:00:00"/>
    <x v="19"/>
    <n v="1"/>
    <x v="1"/>
    <x v="0"/>
    <n v="0"/>
    <x v="19"/>
    <x v="4"/>
    <x v="2"/>
    <n v="47"/>
    <n v="53.11"/>
    <n v="47"/>
    <x v="89"/>
    <x v="3"/>
    <x v="0"/>
    <x v="1"/>
  </r>
  <r>
    <d v="2022-01-09T00:00:00"/>
    <x v="18"/>
    <n v="12"/>
    <x v="2"/>
    <x v="0"/>
    <n v="0"/>
    <x v="18"/>
    <x v="4"/>
    <x v="1"/>
    <n v="89"/>
    <n v="117.48"/>
    <n v="1068"/>
    <x v="112"/>
    <x v="4"/>
    <x v="0"/>
    <x v="1"/>
  </r>
  <r>
    <d v="2022-01-10T00:00:00"/>
    <x v="13"/>
    <n v="14"/>
    <x v="1"/>
    <x v="0"/>
    <n v="0"/>
    <x v="13"/>
    <x v="4"/>
    <x v="2"/>
    <n v="55"/>
    <n v="58.3"/>
    <n v="770"/>
    <x v="38"/>
    <x v="26"/>
    <x v="0"/>
    <x v="1"/>
  </r>
  <r>
    <d v="2022-01-11T00:00:00"/>
    <x v="18"/>
    <n v="2"/>
    <x v="2"/>
    <x v="0"/>
    <n v="0"/>
    <x v="18"/>
    <x v="4"/>
    <x v="1"/>
    <n v="89"/>
    <n v="117.48"/>
    <n v="178"/>
    <x v="224"/>
    <x v="5"/>
    <x v="0"/>
    <x v="1"/>
  </r>
  <r>
    <d v="2022-01-13T00:00:00"/>
    <x v="40"/>
    <n v="6"/>
    <x v="1"/>
    <x v="0"/>
    <n v="0"/>
    <x v="40"/>
    <x v="2"/>
    <x v="0"/>
    <n v="150"/>
    <n v="210"/>
    <n v="900"/>
    <x v="225"/>
    <x v="22"/>
    <x v="0"/>
    <x v="1"/>
  </r>
  <r>
    <d v="2022-01-14T00:00:00"/>
    <x v="31"/>
    <n v="14"/>
    <x v="2"/>
    <x v="0"/>
    <n v="0"/>
    <x v="31"/>
    <x v="2"/>
    <x v="2"/>
    <n v="44"/>
    <n v="48.4"/>
    <n v="616"/>
    <x v="226"/>
    <x v="29"/>
    <x v="0"/>
    <x v="1"/>
  </r>
  <r>
    <d v="2022-01-15T00:00:00"/>
    <x v="22"/>
    <n v="10"/>
    <x v="2"/>
    <x v="1"/>
    <n v="0"/>
    <x v="22"/>
    <x v="0"/>
    <x v="0"/>
    <n v="121"/>
    <n v="141.57"/>
    <n v="1210"/>
    <x v="227"/>
    <x v="17"/>
    <x v="0"/>
    <x v="1"/>
  </r>
  <r>
    <d v="2022-01-16T00:00:00"/>
    <x v="9"/>
    <n v="11"/>
    <x v="1"/>
    <x v="1"/>
    <n v="0"/>
    <x v="9"/>
    <x v="2"/>
    <x v="1"/>
    <n v="112"/>
    <n v="146.72"/>
    <n v="1232"/>
    <x v="228"/>
    <x v="23"/>
    <x v="0"/>
    <x v="1"/>
  </r>
  <r>
    <d v="2022-01-17T00:00:00"/>
    <x v="17"/>
    <n v="4"/>
    <x v="1"/>
    <x v="0"/>
    <n v="0"/>
    <x v="17"/>
    <x v="1"/>
    <x v="1"/>
    <n v="90"/>
    <n v="115.2"/>
    <n v="360"/>
    <x v="76"/>
    <x v="30"/>
    <x v="0"/>
    <x v="1"/>
  </r>
  <r>
    <d v="2022-01-18T00:00:00"/>
    <x v="25"/>
    <n v="9"/>
    <x v="0"/>
    <x v="1"/>
    <n v="0"/>
    <x v="25"/>
    <x v="3"/>
    <x v="1"/>
    <n v="83"/>
    <n v="94.62"/>
    <n v="747"/>
    <x v="229"/>
    <x v="7"/>
    <x v="0"/>
    <x v="1"/>
  </r>
  <r>
    <d v="2022-01-20T00:00:00"/>
    <x v="32"/>
    <n v="2"/>
    <x v="2"/>
    <x v="1"/>
    <n v="0"/>
    <x v="32"/>
    <x v="0"/>
    <x v="0"/>
    <n v="126"/>
    <n v="162.54"/>
    <n v="252"/>
    <x v="124"/>
    <x v="9"/>
    <x v="0"/>
    <x v="1"/>
  </r>
  <r>
    <d v="2022-01-20T00:00:00"/>
    <x v="9"/>
    <n v="7"/>
    <x v="1"/>
    <x v="0"/>
    <n v="0"/>
    <x v="9"/>
    <x v="2"/>
    <x v="1"/>
    <n v="112"/>
    <n v="146.72"/>
    <n v="784"/>
    <x v="230"/>
    <x v="9"/>
    <x v="0"/>
    <x v="1"/>
  </r>
  <r>
    <d v="2022-01-22T00:00:00"/>
    <x v="16"/>
    <n v="6"/>
    <x v="1"/>
    <x v="1"/>
    <n v="0"/>
    <x v="16"/>
    <x v="3"/>
    <x v="1"/>
    <n v="98"/>
    <n v="103.88"/>
    <n v="588"/>
    <x v="167"/>
    <x v="18"/>
    <x v="0"/>
    <x v="1"/>
  </r>
  <r>
    <d v="2022-01-23T00:00:00"/>
    <x v="29"/>
    <n v="5"/>
    <x v="0"/>
    <x v="1"/>
    <n v="0"/>
    <x v="29"/>
    <x v="3"/>
    <x v="1"/>
    <n v="105"/>
    <n v="142.80000000000001"/>
    <n v="525"/>
    <x v="231"/>
    <x v="19"/>
    <x v="0"/>
    <x v="1"/>
  </r>
  <r>
    <d v="2022-01-23T00:00:00"/>
    <x v="10"/>
    <n v="8"/>
    <x v="2"/>
    <x v="0"/>
    <n v="0"/>
    <x v="10"/>
    <x v="1"/>
    <x v="0"/>
    <n v="120"/>
    <n v="162"/>
    <n v="960"/>
    <x v="59"/>
    <x v="19"/>
    <x v="0"/>
    <x v="1"/>
  </r>
  <r>
    <d v="2022-01-24T00:00:00"/>
    <x v="28"/>
    <n v="15"/>
    <x v="1"/>
    <x v="0"/>
    <n v="0"/>
    <x v="28"/>
    <x v="4"/>
    <x v="0"/>
    <n v="148"/>
    <n v="201.28"/>
    <n v="2220"/>
    <x v="232"/>
    <x v="27"/>
    <x v="0"/>
    <x v="1"/>
  </r>
  <r>
    <d v="2022-01-25T00:00:00"/>
    <x v="39"/>
    <n v="14"/>
    <x v="2"/>
    <x v="1"/>
    <n v="0"/>
    <x v="39"/>
    <x v="2"/>
    <x v="0"/>
    <n v="134"/>
    <n v="156.78"/>
    <n v="1876"/>
    <x v="233"/>
    <x v="11"/>
    <x v="0"/>
    <x v="1"/>
  </r>
  <r>
    <d v="2022-01-28T00:00:00"/>
    <x v="21"/>
    <n v="11"/>
    <x v="2"/>
    <x v="0"/>
    <n v="0"/>
    <x v="21"/>
    <x v="2"/>
    <x v="3"/>
    <n v="13"/>
    <n v="16.64"/>
    <n v="143"/>
    <x v="234"/>
    <x v="14"/>
    <x v="0"/>
    <x v="1"/>
  </r>
  <r>
    <d v="2022-01-31T00:00:00"/>
    <x v="12"/>
    <n v="6"/>
    <x v="1"/>
    <x v="1"/>
    <n v="0"/>
    <x v="12"/>
    <x v="0"/>
    <x v="0"/>
    <n v="141"/>
    <n v="149.46"/>
    <n v="846"/>
    <x v="235"/>
    <x v="25"/>
    <x v="0"/>
    <x v="1"/>
  </r>
  <r>
    <d v="2022-01-31T00:00:00"/>
    <x v="41"/>
    <n v="9"/>
    <x v="2"/>
    <x v="1"/>
    <n v="0"/>
    <x v="41"/>
    <x v="1"/>
    <x v="0"/>
    <n v="138"/>
    <n v="173.88"/>
    <n v="1242"/>
    <x v="236"/>
    <x v="25"/>
    <x v="0"/>
    <x v="1"/>
  </r>
  <r>
    <d v="2022-02-01T00:00:00"/>
    <x v="24"/>
    <n v="9"/>
    <x v="2"/>
    <x v="1"/>
    <n v="0"/>
    <x v="24"/>
    <x v="3"/>
    <x v="0"/>
    <n v="133"/>
    <n v="155.61000000000001"/>
    <n v="1197"/>
    <x v="237"/>
    <x v="0"/>
    <x v="1"/>
    <x v="1"/>
  </r>
  <r>
    <d v="2022-02-03T00:00:00"/>
    <x v="9"/>
    <n v="8"/>
    <x v="2"/>
    <x v="0"/>
    <n v="0"/>
    <x v="9"/>
    <x v="2"/>
    <x v="1"/>
    <n v="112"/>
    <n v="146.72"/>
    <n v="896"/>
    <x v="238"/>
    <x v="2"/>
    <x v="1"/>
    <x v="1"/>
  </r>
  <r>
    <d v="2022-02-05T00:00:00"/>
    <x v="30"/>
    <n v="6"/>
    <x v="2"/>
    <x v="1"/>
    <n v="0"/>
    <x v="30"/>
    <x v="2"/>
    <x v="3"/>
    <n v="37"/>
    <n v="49.21"/>
    <n v="222"/>
    <x v="239"/>
    <x v="15"/>
    <x v="1"/>
    <x v="1"/>
  </r>
  <r>
    <d v="2022-02-06T00:00:00"/>
    <x v="29"/>
    <n v="6"/>
    <x v="2"/>
    <x v="1"/>
    <n v="0"/>
    <x v="29"/>
    <x v="3"/>
    <x v="1"/>
    <n v="105"/>
    <n v="142.80000000000001"/>
    <n v="630"/>
    <x v="240"/>
    <x v="16"/>
    <x v="1"/>
    <x v="1"/>
  </r>
  <r>
    <d v="2022-02-08T00:00:00"/>
    <x v="24"/>
    <n v="11"/>
    <x v="1"/>
    <x v="1"/>
    <n v="0"/>
    <x v="24"/>
    <x v="3"/>
    <x v="0"/>
    <n v="133"/>
    <n v="155.61000000000001"/>
    <n v="1463"/>
    <x v="123"/>
    <x v="21"/>
    <x v="1"/>
    <x v="1"/>
  </r>
  <r>
    <d v="2022-02-08T00:00:00"/>
    <x v="3"/>
    <n v="3"/>
    <x v="1"/>
    <x v="1"/>
    <n v="0"/>
    <x v="3"/>
    <x v="3"/>
    <x v="2"/>
    <n v="44"/>
    <n v="48.84"/>
    <n v="132"/>
    <x v="241"/>
    <x v="21"/>
    <x v="1"/>
    <x v="1"/>
  </r>
  <r>
    <d v="2022-02-09T00:00:00"/>
    <x v="18"/>
    <n v="14"/>
    <x v="1"/>
    <x v="0"/>
    <n v="0"/>
    <x v="18"/>
    <x v="4"/>
    <x v="1"/>
    <n v="89"/>
    <n v="117.48"/>
    <n v="1246"/>
    <x v="242"/>
    <x v="4"/>
    <x v="1"/>
    <x v="1"/>
  </r>
  <r>
    <d v="2022-02-12T00:00:00"/>
    <x v="20"/>
    <n v="13"/>
    <x v="2"/>
    <x v="1"/>
    <n v="0"/>
    <x v="20"/>
    <x v="2"/>
    <x v="0"/>
    <n v="148"/>
    <n v="164.28"/>
    <n v="1924"/>
    <x v="221"/>
    <x v="6"/>
    <x v="1"/>
    <x v="1"/>
  </r>
  <r>
    <d v="2022-02-14T00:00:00"/>
    <x v="42"/>
    <n v="8"/>
    <x v="1"/>
    <x v="1"/>
    <n v="0"/>
    <x v="42"/>
    <x v="4"/>
    <x v="3"/>
    <n v="18"/>
    <n v="24.66"/>
    <n v="144"/>
    <x v="243"/>
    <x v="29"/>
    <x v="1"/>
    <x v="1"/>
  </r>
  <r>
    <d v="2022-02-14T00:00:00"/>
    <x v="33"/>
    <n v="3"/>
    <x v="2"/>
    <x v="1"/>
    <n v="0"/>
    <x v="33"/>
    <x v="4"/>
    <x v="3"/>
    <n v="37"/>
    <n v="41.81"/>
    <n v="111"/>
    <x v="244"/>
    <x v="29"/>
    <x v="1"/>
    <x v="1"/>
  </r>
  <r>
    <d v="2022-02-16T00:00:00"/>
    <x v="18"/>
    <n v="1"/>
    <x v="1"/>
    <x v="1"/>
    <n v="0"/>
    <x v="18"/>
    <x v="4"/>
    <x v="1"/>
    <n v="89"/>
    <n v="117.48"/>
    <n v="89"/>
    <x v="162"/>
    <x v="23"/>
    <x v="1"/>
    <x v="1"/>
  </r>
  <r>
    <d v="2022-02-19T00:00:00"/>
    <x v="29"/>
    <n v="13"/>
    <x v="1"/>
    <x v="1"/>
    <n v="0"/>
    <x v="29"/>
    <x v="3"/>
    <x v="1"/>
    <n v="105"/>
    <n v="142.80000000000001"/>
    <n v="1365"/>
    <x v="245"/>
    <x v="8"/>
    <x v="1"/>
    <x v="1"/>
  </r>
  <r>
    <d v="2022-02-20T00:00:00"/>
    <x v="35"/>
    <n v="6"/>
    <x v="2"/>
    <x v="1"/>
    <n v="0"/>
    <x v="35"/>
    <x v="2"/>
    <x v="1"/>
    <n v="73"/>
    <n v="94.17"/>
    <n v="438"/>
    <x v="246"/>
    <x v="9"/>
    <x v="1"/>
    <x v="1"/>
  </r>
  <r>
    <d v="2022-02-23T00:00:00"/>
    <x v="2"/>
    <n v="6"/>
    <x v="1"/>
    <x v="0"/>
    <n v="0"/>
    <x v="2"/>
    <x v="2"/>
    <x v="1"/>
    <n v="112"/>
    <n v="122.08"/>
    <n v="672"/>
    <x v="2"/>
    <x v="19"/>
    <x v="1"/>
    <x v="1"/>
  </r>
  <r>
    <d v="2022-02-23T00:00:00"/>
    <x v="21"/>
    <n v="15"/>
    <x v="1"/>
    <x v="1"/>
    <n v="0"/>
    <x v="21"/>
    <x v="2"/>
    <x v="3"/>
    <n v="13"/>
    <n v="16.64"/>
    <n v="195"/>
    <x v="247"/>
    <x v="19"/>
    <x v="1"/>
    <x v="1"/>
  </r>
  <r>
    <d v="2022-02-23T00:00:00"/>
    <x v="43"/>
    <n v="8"/>
    <x v="2"/>
    <x v="0"/>
    <n v="0"/>
    <x v="43"/>
    <x v="4"/>
    <x v="1"/>
    <n v="90"/>
    <n v="96.3"/>
    <n v="720"/>
    <x v="218"/>
    <x v="19"/>
    <x v="1"/>
    <x v="1"/>
  </r>
  <r>
    <d v="2022-02-27T00:00:00"/>
    <x v="35"/>
    <n v="7"/>
    <x v="2"/>
    <x v="1"/>
    <n v="0"/>
    <x v="35"/>
    <x v="2"/>
    <x v="1"/>
    <n v="73"/>
    <n v="94.17"/>
    <n v="511"/>
    <x v="248"/>
    <x v="13"/>
    <x v="1"/>
    <x v="1"/>
  </r>
  <r>
    <d v="2022-02-27T00:00:00"/>
    <x v="24"/>
    <n v="15"/>
    <x v="2"/>
    <x v="0"/>
    <n v="0"/>
    <x v="24"/>
    <x v="3"/>
    <x v="0"/>
    <n v="133"/>
    <n v="155.61000000000001"/>
    <n v="1995"/>
    <x v="249"/>
    <x v="13"/>
    <x v="1"/>
    <x v="1"/>
  </r>
  <r>
    <d v="2022-02-28T00:00:00"/>
    <x v="8"/>
    <n v="15"/>
    <x v="2"/>
    <x v="1"/>
    <n v="0"/>
    <x v="8"/>
    <x v="1"/>
    <x v="1"/>
    <n v="67"/>
    <n v="85.76"/>
    <n v="1005"/>
    <x v="250"/>
    <x v="14"/>
    <x v="1"/>
    <x v="1"/>
  </r>
  <r>
    <d v="2022-03-04T00:00:00"/>
    <x v="42"/>
    <n v="13"/>
    <x v="0"/>
    <x v="0"/>
    <n v="0"/>
    <x v="42"/>
    <x v="4"/>
    <x v="3"/>
    <n v="18"/>
    <n v="24.66"/>
    <n v="234"/>
    <x v="251"/>
    <x v="3"/>
    <x v="2"/>
    <x v="1"/>
  </r>
  <r>
    <d v="2022-03-06T00:00:00"/>
    <x v="3"/>
    <n v="2"/>
    <x v="2"/>
    <x v="1"/>
    <n v="0"/>
    <x v="3"/>
    <x v="3"/>
    <x v="2"/>
    <n v="44"/>
    <n v="48.84"/>
    <n v="88"/>
    <x v="252"/>
    <x v="16"/>
    <x v="2"/>
    <x v="1"/>
  </r>
  <r>
    <d v="2022-03-07T00:00:00"/>
    <x v="6"/>
    <n v="1"/>
    <x v="2"/>
    <x v="1"/>
    <n v="0"/>
    <x v="6"/>
    <x v="3"/>
    <x v="1"/>
    <n v="71"/>
    <n v="80.94"/>
    <n v="71"/>
    <x v="253"/>
    <x v="20"/>
    <x v="2"/>
    <x v="1"/>
  </r>
  <r>
    <d v="2022-03-08T00:00:00"/>
    <x v="11"/>
    <n v="6"/>
    <x v="2"/>
    <x v="0"/>
    <n v="0"/>
    <x v="11"/>
    <x v="1"/>
    <x v="1"/>
    <n v="76"/>
    <n v="82.08"/>
    <n v="456"/>
    <x v="254"/>
    <x v="21"/>
    <x v="2"/>
    <x v="1"/>
  </r>
  <r>
    <d v="2022-03-09T00:00:00"/>
    <x v="28"/>
    <n v="3"/>
    <x v="2"/>
    <x v="0"/>
    <n v="0"/>
    <x v="28"/>
    <x v="4"/>
    <x v="0"/>
    <n v="148"/>
    <n v="201.28"/>
    <n v="444"/>
    <x v="72"/>
    <x v="4"/>
    <x v="2"/>
    <x v="1"/>
  </r>
  <r>
    <d v="2022-03-09T00:00:00"/>
    <x v="3"/>
    <n v="11"/>
    <x v="1"/>
    <x v="1"/>
    <n v="0"/>
    <x v="3"/>
    <x v="3"/>
    <x v="2"/>
    <n v="44"/>
    <n v="48.84"/>
    <n v="484"/>
    <x v="111"/>
    <x v="4"/>
    <x v="2"/>
    <x v="1"/>
  </r>
  <r>
    <d v="2022-03-10T00:00:00"/>
    <x v="38"/>
    <n v="12"/>
    <x v="0"/>
    <x v="0"/>
    <n v="0"/>
    <x v="38"/>
    <x v="4"/>
    <x v="1"/>
    <n v="95"/>
    <n v="119.7"/>
    <n v="1140"/>
    <x v="255"/>
    <x v="26"/>
    <x v="2"/>
    <x v="1"/>
  </r>
  <r>
    <d v="2022-03-14T00:00:00"/>
    <x v="21"/>
    <n v="2"/>
    <x v="2"/>
    <x v="1"/>
    <n v="0"/>
    <x v="21"/>
    <x v="2"/>
    <x v="3"/>
    <n v="13"/>
    <n v="16.64"/>
    <n v="26"/>
    <x v="256"/>
    <x v="29"/>
    <x v="2"/>
    <x v="1"/>
  </r>
  <r>
    <d v="2022-03-14T00:00:00"/>
    <x v="42"/>
    <n v="13"/>
    <x v="2"/>
    <x v="0"/>
    <n v="0"/>
    <x v="42"/>
    <x v="4"/>
    <x v="3"/>
    <n v="18"/>
    <n v="24.66"/>
    <n v="234"/>
    <x v="251"/>
    <x v="29"/>
    <x v="2"/>
    <x v="1"/>
  </r>
  <r>
    <d v="2022-03-18T00:00:00"/>
    <x v="40"/>
    <n v="2"/>
    <x v="1"/>
    <x v="1"/>
    <n v="0"/>
    <x v="40"/>
    <x v="2"/>
    <x v="0"/>
    <n v="150"/>
    <n v="210"/>
    <n v="300"/>
    <x v="257"/>
    <x v="7"/>
    <x v="2"/>
    <x v="1"/>
  </r>
  <r>
    <d v="2022-03-18T00:00:00"/>
    <x v="26"/>
    <n v="10"/>
    <x v="2"/>
    <x v="1"/>
    <n v="0"/>
    <x v="26"/>
    <x v="4"/>
    <x v="2"/>
    <n v="48"/>
    <n v="57.120000000000005"/>
    <n v="480"/>
    <x v="47"/>
    <x v="7"/>
    <x v="2"/>
    <x v="1"/>
  </r>
  <r>
    <d v="2022-03-19T00:00:00"/>
    <x v="41"/>
    <n v="6"/>
    <x v="0"/>
    <x v="1"/>
    <n v="0"/>
    <x v="41"/>
    <x v="1"/>
    <x v="0"/>
    <n v="138"/>
    <n v="173.88"/>
    <n v="828"/>
    <x v="113"/>
    <x v="8"/>
    <x v="2"/>
    <x v="1"/>
  </r>
  <r>
    <d v="2022-03-23T00:00:00"/>
    <x v="18"/>
    <n v="9"/>
    <x v="2"/>
    <x v="1"/>
    <n v="0"/>
    <x v="18"/>
    <x v="4"/>
    <x v="1"/>
    <n v="89"/>
    <n v="117.48"/>
    <n v="801"/>
    <x v="258"/>
    <x v="19"/>
    <x v="2"/>
    <x v="1"/>
  </r>
  <r>
    <d v="2022-03-25T00:00:00"/>
    <x v="16"/>
    <n v="2"/>
    <x v="0"/>
    <x v="0"/>
    <n v="0"/>
    <x v="16"/>
    <x v="3"/>
    <x v="1"/>
    <n v="98"/>
    <n v="103.88"/>
    <n v="196"/>
    <x v="155"/>
    <x v="11"/>
    <x v="2"/>
    <x v="1"/>
  </r>
  <r>
    <d v="2022-03-25T00:00:00"/>
    <x v="28"/>
    <n v="11"/>
    <x v="2"/>
    <x v="0"/>
    <n v="0"/>
    <x v="28"/>
    <x v="4"/>
    <x v="0"/>
    <n v="148"/>
    <n v="201.28"/>
    <n v="1628"/>
    <x v="43"/>
    <x v="11"/>
    <x v="2"/>
    <x v="1"/>
  </r>
  <r>
    <d v="2022-03-29T00:00:00"/>
    <x v="18"/>
    <n v="12"/>
    <x v="1"/>
    <x v="0"/>
    <n v="0"/>
    <x v="18"/>
    <x v="4"/>
    <x v="1"/>
    <n v="89"/>
    <n v="117.48"/>
    <n v="1068"/>
    <x v="112"/>
    <x v="28"/>
    <x v="2"/>
    <x v="1"/>
  </r>
  <r>
    <d v="2022-03-30T00:00:00"/>
    <x v="16"/>
    <n v="13"/>
    <x v="1"/>
    <x v="1"/>
    <n v="0"/>
    <x v="16"/>
    <x v="3"/>
    <x v="1"/>
    <n v="98"/>
    <n v="103.88"/>
    <n v="1274"/>
    <x v="186"/>
    <x v="24"/>
    <x v="2"/>
    <x v="1"/>
  </r>
  <r>
    <d v="2022-04-01T00:00:00"/>
    <x v="29"/>
    <n v="2"/>
    <x v="1"/>
    <x v="1"/>
    <n v="0"/>
    <x v="29"/>
    <x v="3"/>
    <x v="1"/>
    <n v="105"/>
    <n v="142.80000000000001"/>
    <n v="210"/>
    <x v="259"/>
    <x v="0"/>
    <x v="3"/>
    <x v="1"/>
  </r>
  <r>
    <d v="2022-04-02T00:00:00"/>
    <x v="29"/>
    <n v="3"/>
    <x v="2"/>
    <x v="1"/>
    <n v="0"/>
    <x v="29"/>
    <x v="3"/>
    <x v="1"/>
    <n v="105"/>
    <n v="142.80000000000001"/>
    <n v="315"/>
    <x v="260"/>
    <x v="1"/>
    <x v="3"/>
    <x v="1"/>
  </r>
  <r>
    <d v="2022-04-06T00:00:00"/>
    <x v="17"/>
    <n v="2"/>
    <x v="0"/>
    <x v="1"/>
    <n v="0"/>
    <x v="17"/>
    <x v="1"/>
    <x v="1"/>
    <n v="90"/>
    <n v="115.2"/>
    <n v="180"/>
    <x v="171"/>
    <x v="16"/>
    <x v="3"/>
    <x v="1"/>
  </r>
  <r>
    <d v="2022-04-07T00:00:00"/>
    <x v="42"/>
    <n v="7"/>
    <x v="2"/>
    <x v="0"/>
    <n v="0"/>
    <x v="42"/>
    <x v="4"/>
    <x v="3"/>
    <n v="18"/>
    <n v="24.66"/>
    <n v="126"/>
    <x v="261"/>
    <x v="20"/>
    <x v="3"/>
    <x v="1"/>
  </r>
  <r>
    <d v="2022-04-09T00:00:00"/>
    <x v="34"/>
    <n v="12"/>
    <x v="0"/>
    <x v="1"/>
    <n v="0"/>
    <x v="34"/>
    <x v="1"/>
    <x v="3"/>
    <n v="37"/>
    <n v="42.55"/>
    <n v="444"/>
    <x v="262"/>
    <x v="4"/>
    <x v="3"/>
    <x v="1"/>
  </r>
  <r>
    <d v="2022-04-09T00:00:00"/>
    <x v="29"/>
    <n v="9"/>
    <x v="1"/>
    <x v="0"/>
    <n v="0"/>
    <x v="29"/>
    <x v="3"/>
    <x v="1"/>
    <n v="105"/>
    <n v="142.80000000000001"/>
    <n v="945"/>
    <x v="263"/>
    <x v="4"/>
    <x v="3"/>
    <x v="1"/>
  </r>
  <r>
    <d v="2022-04-13T00:00:00"/>
    <x v="21"/>
    <n v="14"/>
    <x v="0"/>
    <x v="0"/>
    <n v="0"/>
    <x v="21"/>
    <x v="2"/>
    <x v="3"/>
    <n v="13"/>
    <n v="16.64"/>
    <n v="182"/>
    <x v="264"/>
    <x v="22"/>
    <x v="3"/>
    <x v="1"/>
  </r>
  <r>
    <d v="2022-04-18T00:00:00"/>
    <x v="41"/>
    <n v="9"/>
    <x v="2"/>
    <x v="1"/>
    <n v="0"/>
    <x v="41"/>
    <x v="1"/>
    <x v="0"/>
    <n v="138"/>
    <n v="173.88"/>
    <n v="1242"/>
    <x v="236"/>
    <x v="7"/>
    <x v="3"/>
    <x v="1"/>
  </r>
  <r>
    <d v="2022-04-20T00:00:00"/>
    <x v="30"/>
    <n v="2"/>
    <x v="0"/>
    <x v="0"/>
    <n v="0"/>
    <x v="30"/>
    <x v="2"/>
    <x v="3"/>
    <n v="37"/>
    <n v="49.21"/>
    <n v="74"/>
    <x v="265"/>
    <x v="9"/>
    <x v="3"/>
    <x v="1"/>
  </r>
  <r>
    <d v="2022-04-20T00:00:00"/>
    <x v="35"/>
    <n v="4"/>
    <x v="2"/>
    <x v="0"/>
    <n v="0"/>
    <x v="35"/>
    <x v="2"/>
    <x v="1"/>
    <n v="73"/>
    <n v="94.17"/>
    <n v="292"/>
    <x v="64"/>
    <x v="9"/>
    <x v="3"/>
    <x v="1"/>
  </r>
  <r>
    <d v="2022-04-21T00:00:00"/>
    <x v="28"/>
    <n v="2"/>
    <x v="2"/>
    <x v="1"/>
    <n v="0"/>
    <x v="28"/>
    <x v="4"/>
    <x v="0"/>
    <n v="148"/>
    <n v="201.28"/>
    <n v="296"/>
    <x v="49"/>
    <x v="10"/>
    <x v="3"/>
    <x v="1"/>
  </r>
  <r>
    <d v="2022-04-21T00:00:00"/>
    <x v="42"/>
    <n v="14"/>
    <x v="1"/>
    <x v="0"/>
    <n v="0"/>
    <x v="42"/>
    <x v="4"/>
    <x v="3"/>
    <n v="18"/>
    <n v="24.66"/>
    <n v="252"/>
    <x v="266"/>
    <x v="10"/>
    <x v="3"/>
    <x v="1"/>
  </r>
  <r>
    <d v="2022-04-23T00:00:00"/>
    <x v="11"/>
    <n v="15"/>
    <x v="1"/>
    <x v="0"/>
    <n v="0"/>
    <x v="11"/>
    <x v="1"/>
    <x v="1"/>
    <n v="76"/>
    <n v="82.08"/>
    <n v="1140"/>
    <x v="138"/>
    <x v="19"/>
    <x v="3"/>
    <x v="1"/>
  </r>
  <r>
    <d v="2022-04-24T00:00:00"/>
    <x v="13"/>
    <n v="4"/>
    <x v="2"/>
    <x v="0"/>
    <n v="0"/>
    <x v="13"/>
    <x v="4"/>
    <x v="2"/>
    <n v="55"/>
    <n v="58.3"/>
    <n v="220"/>
    <x v="15"/>
    <x v="27"/>
    <x v="3"/>
    <x v="1"/>
  </r>
  <r>
    <d v="2022-04-25T00:00:00"/>
    <x v="3"/>
    <n v="9"/>
    <x v="2"/>
    <x v="1"/>
    <n v="0"/>
    <x v="3"/>
    <x v="3"/>
    <x v="2"/>
    <n v="44"/>
    <n v="48.84"/>
    <n v="396"/>
    <x v="267"/>
    <x v="11"/>
    <x v="3"/>
    <x v="1"/>
  </r>
  <r>
    <d v="2022-04-25T00:00:00"/>
    <x v="6"/>
    <n v="8"/>
    <x v="1"/>
    <x v="0"/>
    <n v="0"/>
    <x v="6"/>
    <x v="3"/>
    <x v="1"/>
    <n v="71"/>
    <n v="80.94"/>
    <n v="568"/>
    <x v="6"/>
    <x v="11"/>
    <x v="3"/>
    <x v="1"/>
  </r>
  <r>
    <d v="2022-04-26T00:00:00"/>
    <x v="26"/>
    <n v="2"/>
    <x v="2"/>
    <x v="1"/>
    <n v="0"/>
    <x v="26"/>
    <x v="4"/>
    <x v="2"/>
    <n v="48"/>
    <n v="57.120000000000005"/>
    <n v="96"/>
    <x v="268"/>
    <x v="12"/>
    <x v="3"/>
    <x v="1"/>
  </r>
  <r>
    <d v="2022-04-28T00:00:00"/>
    <x v="9"/>
    <n v="14"/>
    <x v="2"/>
    <x v="1"/>
    <n v="0"/>
    <x v="9"/>
    <x v="2"/>
    <x v="1"/>
    <n v="112"/>
    <n v="146.72"/>
    <n v="1568"/>
    <x v="269"/>
    <x v="14"/>
    <x v="3"/>
    <x v="1"/>
  </r>
  <r>
    <d v="2022-04-30T00:00:00"/>
    <x v="21"/>
    <n v="13"/>
    <x v="1"/>
    <x v="0"/>
    <n v="0"/>
    <x v="21"/>
    <x v="2"/>
    <x v="3"/>
    <n v="13"/>
    <n v="16.64"/>
    <n v="169"/>
    <x v="31"/>
    <x v="24"/>
    <x v="3"/>
    <x v="1"/>
  </r>
  <r>
    <d v="2022-04-30T00:00:00"/>
    <x v="26"/>
    <n v="8"/>
    <x v="2"/>
    <x v="0"/>
    <n v="0"/>
    <x v="26"/>
    <x v="4"/>
    <x v="2"/>
    <n v="48"/>
    <n v="57.120000000000005"/>
    <n v="384"/>
    <x v="185"/>
    <x v="24"/>
    <x v="3"/>
    <x v="1"/>
  </r>
  <r>
    <d v="2022-05-01T00:00:00"/>
    <x v="13"/>
    <n v="9"/>
    <x v="0"/>
    <x v="0"/>
    <n v="0"/>
    <x v="13"/>
    <x v="4"/>
    <x v="2"/>
    <n v="55"/>
    <n v="58.3"/>
    <n v="495"/>
    <x v="270"/>
    <x v="0"/>
    <x v="4"/>
    <x v="1"/>
  </r>
  <r>
    <d v="2022-05-01T00:00:00"/>
    <x v="38"/>
    <n v="6"/>
    <x v="1"/>
    <x v="0"/>
    <n v="0"/>
    <x v="38"/>
    <x v="4"/>
    <x v="1"/>
    <n v="95"/>
    <n v="119.7"/>
    <n v="570"/>
    <x v="109"/>
    <x v="0"/>
    <x v="4"/>
    <x v="1"/>
  </r>
  <r>
    <d v="2022-05-02T00:00:00"/>
    <x v="2"/>
    <n v="4"/>
    <x v="1"/>
    <x v="1"/>
    <n v="0"/>
    <x v="2"/>
    <x v="2"/>
    <x v="1"/>
    <n v="112"/>
    <n v="122.08"/>
    <n v="448"/>
    <x v="271"/>
    <x v="1"/>
    <x v="4"/>
    <x v="1"/>
  </r>
  <r>
    <d v="2022-05-04T00:00:00"/>
    <x v="14"/>
    <n v="10"/>
    <x v="2"/>
    <x v="0"/>
    <n v="0"/>
    <x v="14"/>
    <x v="0"/>
    <x v="2"/>
    <n v="61"/>
    <n v="76.25"/>
    <n v="610"/>
    <x v="272"/>
    <x v="3"/>
    <x v="4"/>
    <x v="1"/>
  </r>
  <r>
    <d v="2022-05-06T00:00:00"/>
    <x v="13"/>
    <n v="7"/>
    <x v="2"/>
    <x v="0"/>
    <n v="0"/>
    <x v="13"/>
    <x v="4"/>
    <x v="2"/>
    <n v="55"/>
    <n v="58.3"/>
    <n v="385"/>
    <x v="273"/>
    <x v="16"/>
    <x v="4"/>
    <x v="1"/>
  </r>
  <r>
    <d v="2022-05-07T00:00:00"/>
    <x v="27"/>
    <n v="4"/>
    <x v="1"/>
    <x v="1"/>
    <n v="0"/>
    <x v="27"/>
    <x v="2"/>
    <x v="3"/>
    <n v="12"/>
    <n v="15.719999999999999"/>
    <n v="48"/>
    <x v="274"/>
    <x v="20"/>
    <x v="4"/>
    <x v="1"/>
  </r>
  <r>
    <d v="2022-05-07T00:00:00"/>
    <x v="26"/>
    <n v="1"/>
    <x v="1"/>
    <x v="0"/>
    <n v="0"/>
    <x v="26"/>
    <x v="4"/>
    <x v="2"/>
    <n v="48"/>
    <n v="57.120000000000005"/>
    <n v="48"/>
    <x v="275"/>
    <x v="20"/>
    <x v="4"/>
    <x v="1"/>
  </r>
  <r>
    <d v="2022-05-08T00:00:00"/>
    <x v="22"/>
    <n v="7"/>
    <x v="1"/>
    <x v="0"/>
    <n v="0"/>
    <x v="22"/>
    <x v="0"/>
    <x v="0"/>
    <n v="121"/>
    <n v="141.57"/>
    <n v="847"/>
    <x v="276"/>
    <x v="21"/>
    <x v="4"/>
    <x v="1"/>
  </r>
  <r>
    <d v="2022-05-09T00:00:00"/>
    <x v="39"/>
    <n v="12"/>
    <x v="0"/>
    <x v="1"/>
    <n v="0"/>
    <x v="39"/>
    <x v="2"/>
    <x v="0"/>
    <n v="134"/>
    <n v="156.78"/>
    <n v="1608"/>
    <x v="277"/>
    <x v="4"/>
    <x v="4"/>
    <x v="1"/>
  </r>
  <r>
    <d v="2022-05-10T00:00:00"/>
    <x v="37"/>
    <n v="6"/>
    <x v="2"/>
    <x v="0"/>
    <n v="0"/>
    <x v="37"/>
    <x v="3"/>
    <x v="3"/>
    <n v="6"/>
    <n v="7.8599999999999994"/>
    <n v="36"/>
    <x v="95"/>
    <x v="26"/>
    <x v="4"/>
    <x v="1"/>
  </r>
  <r>
    <d v="2022-05-12T00:00:00"/>
    <x v="31"/>
    <n v="7"/>
    <x v="1"/>
    <x v="1"/>
    <n v="0"/>
    <x v="31"/>
    <x v="2"/>
    <x v="2"/>
    <n v="44"/>
    <n v="48.4"/>
    <n v="308"/>
    <x v="188"/>
    <x v="6"/>
    <x v="4"/>
    <x v="1"/>
  </r>
  <r>
    <d v="2022-05-13T00:00:00"/>
    <x v="35"/>
    <n v="5"/>
    <x v="2"/>
    <x v="0"/>
    <n v="0"/>
    <x v="35"/>
    <x v="2"/>
    <x v="1"/>
    <n v="73"/>
    <n v="94.17"/>
    <n v="365"/>
    <x v="278"/>
    <x v="22"/>
    <x v="4"/>
    <x v="1"/>
  </r>
  <r>
    <d v="2022-05-14T00:00:00"/>
    <x v="25"/>
    <n v="14"/>
    <x v="2"/>
    <x v="1"/>
    <n v="0"/>
    <x v="25"/>
    <x v="3"/>
    <x v="1"/>
    <n v="83"/>
    <n v="94.62"/>
    <n v="1162"/>
    <x v="279"/>
    <x v="29"/>
    <x v="4"/>
    <x v="1"/>
  </r>
  <r>
    <d v="2022-05-15T00:00:00"/>
    <x v="14"/>
    <n v="5"/>
    <x v="1"/>
    <x v="0"/>
    <n v="0"/>
    <x v="14"/>
    <x v="0"/>
    <x v="2"/>
    <n v="61"/>
    <n v="76.25"/>
    <n v="305"/>
    <x v="280"/>
    <x v="17"/>
    <x v="4"/>
    <x v="1"/>
  </r>
  <r>
    <d v="2022-05-16T00:00:00"/>
    <x v="20"/>
    <n v="13"/>
    <x v="2"/>
    <x v="1"/>
    <n v="0"/>
    <x v="20"/>
    <x v="2"/>
    <x v="0"/>
    <n v="148"/>
    <n v="164.28"/>
    <n v="1924"/>
    <x v="221"/>
    <x v="23"/>
    <x v="4"/>
    <x v="1"/>
  </r>
  <r>
    <d v="2022-05-16T00:00:00"/>
    <x v="5"/>
    <n v="13"/>
    <x v="1"/>
    <x v="0"/>
    <n v="0"/>
    <x v="5"/>
    <x v="4"/>
    <x v="1"/>
    <n v="93"/>
    <n v="104.16"/>
    <n v="1209"/>
    <x v="281"/>
    <x v="23"/>
    <x v="4"/>
    <x v="1"/>
  </r>
  <r>
    <d v="2022-05-17T00:00:00"/>
    <x v="26"/>
    <n v="8"/>
    <x v="2"/>
    <x v="1"/>
    <n v="0"/>
    <x v="26"/>
    <x v="4"/>
    <x v="2"/>
    <n v="48"/>
    <n v="57.120000000000005"/>
    <n v="384"/>
    <x v="185"/>
    <x v="30"/>
    <x v="4"/>
    <x v="1"/>
  </r>
  <r>
    <d v="2022-05-18T00:00:00"/>
    <x v="26"/>
    <n v="4"/>
    <x v="0"/>
    <x v="0"/>
    <n v="0"/>
    <x v="26"/>
    <x v="4"/>
    <x v="2"/>
    <n v="48"/>
    <n v="57.120000000000005"/>
    <n v="192"/>
    <x v="41"/>
    <x v="7"/>
    <x v="4"/>
    <x v="1"/>
  </r>
  <r>
    <d v="2022-05-18T00:00:00"/>
    <x v="1"/>
    <n v="8"/>
    <x v="0"/>
    <x v="0"/>
    <n v="0"/>
    <x v="1"/>
    <x v="1"/>
    <x v="1"/>
    <n v="72"/>
    <n v="79.92"/>
    <n v="576"/>
    <x v="282"/>
    <x v="7"/>
    <x v="4"/>
    <x v="1"/>
  </r>
  <r>
    <d v="2022-05-20T00:00:00"/>
    <x v="11"/>
    <n v="15"/>
    <x v="1"/>
    <x v="1"/>
    <n v="0"/>
    <x v="11"/>
    <x v="1"/>
    <x v="1"/>
    <n v="76"/>
    <n v="82.08"/>
    <n v="1140"/>
    <x v="138"/>
    <x v="9"/>
    <x v="4"/>
    <x v="1"/>
  </r>
  <r>
    <d v="2022-05-22T00:00:00"/>
    <x v="27"/>
    <n v="12"/>
    <x v="2"/>
    <x v="0"/>
    <n v="0"/>
    <x v="27"/>
    <x v="2"/>
    <x v="3"/>
    <n v="12"/>
    <n v="15.719999999999999"/>
    <n v="144"/>
    <x v="116"/>
    <x v="18"/>
    <x v="4"/>
    <x v="1"/>
  </r>
  <r>
    <d v="2022-05-25T00:00:00"/>
    <x v="29"/>
    <n v="7"/>
    <x v="1"/>
    <x v="0"/>
    <n v="0"/>
    <x v="29"/>
    <x v="3"/>
    <x v="1"/>
    <n v="105"/>
    <n v="142.80000000000001"/>
    <n v="735"/>
    <x v="283"/>
    <x v="11"/>
    <x v="4"/>
    <x v="1"/>
  </r>
  <r>
    <d v="2022-05-26T00:00:00"/>
    <x v="33"/>
    <n v="2"/>
    <x v="2"/>
    <x v="0"/>
    <n v="0"/>
    <x v="33"/>
    <x v="4"/>
    <x v="3"/>
    <n v="37"/>
    <n v="41.81"/>
    <n v="74"/>
    <x v="284"/>
    <x v="12"/>
    <x v="4"/>
    <x v="1"/>
  </r>
  <r>
    <d v="2022-05-26T00:00:00"/>
    <x v="26"/>
    <n v="2"/>
    <x v="1"/>
    <x v="0"/>
    <n v="0"/>
    <x v="26"/>
    <x v="4"/>
    <x v="2"/>
    <n v="48"/>
    <n v="57.120000000000005"/>
    <n v="96"/>
    <x v="268"/>
    <x v="12"/>
    <x v="4"/>
    <x v="1"/>
  </r>
  <r>
    <d v="2022-05-28T00:00:00"/>
    <x v="41"/>
    <n v="10"/>
    <x v="0"/>
    <x v="1"/>
    <n v="0"/>
    <x v="41"/>
    <x v="1"/>
    <x v="0"/>
    <n v="138"/>
    <n v="173.88"/>
    <n v="1380"/>
    <x v="285"/>
    <x v="14"/>
    <x v="4"/>
    <x v="1"/>
  </r>
  <r>
    <d v="2022-05-28T00:00:00"/>
    <x v="25"/>
    <n v="5"/>
    <x v="0"/>
    <x v="0"/>
    <n v="0"/>
    <x v="25"/>
    <x v="3"/>
    <x v="1"/>
    <n v="83"/>
    <n v="94.62"/>
    <n v="415"/>
    <x v="286"/>
    <x v="14"/>
    <x v="4"/>
    <x v="1"/>
  </r>
  <r>
    <d v="2022-05-28T00:00:00"/>
    <x v="20"/>
    <n v="9"/>
    <x v="1"/>
    <x v="1"/>
    <n v="0"/>
    <x v="20"/>
    <x v="2"/>
    <x v="0"/>
    <n v="148"/>
    <n v="164.28"/>
    <n v="1332"/>
    <x v="71"/>
    <x v="14"/>
    <x v="4"/>
    <x v="1"/>
  </r>
  <r>
    <d v="2022-05-28T00:00:00"/>
    <x v="3"/>
    <n v="12"/>
    <x v="1"/>
    <x v="0"/>
    <n v="0"/>
    <x v="3"/>
    <x v="3"/>
    <x v="2"/>
    <n v="44"/>
    <n v="48.84"/>
    <n v="528"/>
    <x v="287"/>
    <x v="14"/>
    <x v="4"/>
    <x v="1"/>
  </r>
  <r>
    <d v="2022-05-28T00:00:00"/>
    <x v="14"/>
    <n v="14"/>
    <x v="2"/>
    <x v="1"/>
    <n v="0"/>
    <x v="14"/>
    <x v="0"/>
    <x v="2"/>
    <n v="61"/>
    <n v="76.25"/>
    <n v="854"/>
    <x v="288"/>
    <x v="14"/>
    <x v="4"/>
    <x v="1"/>
  </r>
  <r>
    <d v="2022-05-30T00:00:00"/>
    <x v="11"/>
    <n v="9"/>
    <x v="2"/>
    <x v="0"/>
    <n v="0"/>
    <x v="11"/>
    <x v="1"/>
    <x v="1"/>
    <n v="76"/>
    <n v="82.08"/>
    <n v="684"/>
    <x v="23"/>
    <x v="24"/>
    <x v="4"/>
    <x v="1"/>
  </r>
  <r>
    <d v="2022-05-30T00:00:00"/>
    <x v="24"/>
    <n v="4"/>
    <x v="0"/>
    <x v="1"/>
    <n v="0"/>
    <x v="24"/>
    <x v="3"/>
    <x v="0"/>
    <n v="133"/>
    <n v="155.61000000000001"/>
    <n v="532"/>
    <x v="144"/>
    <x v="24"/>
    <x v="4"/>
    <x v="1"/>
  </r>
  <r>
    <d v="2022-05-30T00:00:00"/>
    <x v="38"/>
    <n v="3"/>
    <x v="1"/>
    <x v="1"/>
    <n v="0"/>
    <x v="38"/>
    <x v="4"/>
    <x v="1"/>
    <n v="95"/>
    <n v="119.7"/>
    <n v="285"/>
    <x v="289"/>
    <x v="24"/>
    <x v="4"/>
    <x v="1"/>
  </r>
  <r>
    <d v="2022-06-03T00:00:00"/>
    <x v="25"/>
    <n v="14"/>
    <x v="1"/>
    <x v="0"/>
    <n v="0"/>
    <x v="25"/>
    <x v="3"/>
    <x v="1"/>
    <n v="83"/>
    <n v="94.62"/>
    <n v="1162"/>
    <x v="279"/>
    <x v="2"/>
    <x v="5"/>
    <x v="1"/>
  </r>
  <r>
    <d v="2022-06-10T00:00:00"/>
    <x v="33"/>
    <n v="8"/>
    <x v="0"/>
    <x v="0"/>
    <n v="0"/>
    <x v="33"/>
    <x v="4"/>
    <x v="3"/>
    <n v="37"/>
    <n v="41.81"/>
    <n v="296"/>
    <x v="98"/>
    <x v="26"/>
    <x v="5"/>
    <x v="1"/>
  </r>
  <r>
    <d v="2022-06-11T00:00:00"/>
    <x v="34"/>
    <n v="13"/>
    <x v="1"/>
    <x v="1"/>
    <n v="0"/>
    <x v="34"/>
    <x v="1"/>
    <x v="3"/>
    <n v="37"/>
    <n v="42.55"/>
    <n v="481"/>
    <x v="290"/>
    <x v="5"/>
    <x v="5"/>
    <x v="1"/>
  </r>
  <r>
    <d v="2022-06-11T00:00:00"/>
    <x v="32"/>
    <n v="6"/>
    <x v="2"/>
    <x v="0"/>
    <n v="0"/>
    <x v="32"/>
    <x v="0"/>
    <x v="0"/>
    <n v="126"/>
    <n v="162.54"/>
    <n v="756"/>
    <x v="195"/>
    <x v="5"/>
    <x v="5"/>
    <x v="1"/>
  </r>
  <r>
    <d v="2022-06-13T00:00:00"/>
    <x v="42"/>
    <n v="6"/>
    <x v="2"/>
    <x v="1"/>
    <n v="0"/>
    <x v="42"/>
    <x v="4"/>
    <x v="3"/>
    <n v="18"/>
    <n v="24.66"/>
    <n v="108"/>
    <x v="181"/>
    <x v="22"/>
    <x v="5"/>
    <x v="1"/>
  </r>
  <r>
    <d v="2022-06-15T00:00:00"/>
    <x v="10"/>
    <n v="15"/>
    <x v="0"/>
    <x v="0"/>
    <n v="0"/>
    <x v="10"/>
    <x v="1"/>
    <x v="0"/>
    <n v="120"/>
    <n v="162"/>
    <n v="1800"/>
    <x v="291"/>
    <x v="17"/>
    <x v="5"/>
    <x v="1"/>
  </r>
  <r>
    <d v="2022-06-16T00:00:00"/>
    <x v="19"/>
    <n v="15"/>
    <x v="1"/>
    <x v="1"/>
    <n v="0"/>
    <x v="19"/>
    <x v="4"/>
    <x v="2"/>
    <n v="47"/>
    <n v="53.11"/>
    <n v="705"/>
    <x v="134"/>
    <x v="23"/>
    <x v="5"/>
    <x v="1"/>
  </r>
  <r>
    <d v="2022-06-19T00:00:00"/>
    <x v="29"/>
    <n v="8"/>
    <x v="2"/>
    <x v="1"/>
    <n v="0"/>
    <x v="29"/>
    <x v="3"/>
    <x v="1"/>
    <n v="105"/>
    <n v="142.80000000000001"/>
    <n v="840"/>
    <x v="63"/>
    <x v="8"/>
    <x v="5"/>
    <x v="1"/>
  </r>
  <r>
    <d v="2022-06-21T00:00:00"/>
    <x v="39"/>
    <n v="14"/>
    <x v="2"/>
    <x v="1"/>
    <n v="0"/>
    <x v="39"/>
    <x v="2"/>
    <x v="0"/>
    <n v="134"/>
    <n v="156.78"/>
    <n v="1876"/>
    <x v="233"/>
    <x v="10"/>
    <x v="5"/>
    <x v="1"/>
  </r>
  <r>
    <d v="2022-06-22T00:00:00"/>
    <x v="17"/>
    <n v="10"/>
    <x v="1"/>
    <x v="1"/>
    <n v="0"/>
    <x v="17"/>
    <x v="1"/>
    <x v="1"/>
    <n v="90"/>
    <n v="115.2"/>
    <n v="900"/>
    <x v="292"/>
    <x v="18"/>
    <x v="5"/>
    <x v="1"/>
  </r>
  <r>
    <d v="2022-06-22T00:00:00"/>
    <x v="16"/>
    <n v="4"/>
    <x v="2"/>
    <x v="1"/>
    <n v="0"/>
    <x v="16"/>
    <x v="3"/>
    <x v="1"/>
    <n v="98"/>
    <n v="103.88"/>
    <n v="392"/>
    <x v="69"/>
    <x v="18"/>
    <x v="5"/>
    <x v="1"/>
  </r>
  <r>
    <d v="2022-06-23T00:00:00"/>
    <x v="3"/>
    <n v="8"/>
    <x v="2"/>
    <x v="0"/>
    <n v="0"/>
    <x v="3"/>
    <x v="3"/>
    <x v="2"/>
    <n v="44"/>
    <n v="48.84"/>
    <n v="352"/>
    <x v="293"/>
    <x v="19"/>
    <x v="5"/>
    <x v="1"/>
  </r>
  <r>
    <d v="2022-06-24T00:00:00"/>
    <x v="30"/>
    <n v="7"/>
    <x v="2"/>
    <x v="1"/>
    <n v="0"/>
    <x v="30"/>
    <x v="2"/>
    <x v="3"/>
    <n v="37"/>
    <n v="49.21"/>
    <n v="259"/>
    <x v="294"/>
    <x v="27"/>
    <x v="5"/>
    <x v="1"/>
  </r>
  <r>
    <d v="2022-06-25T00:00:00"/>
    <x v="35"/>
    <n v="7"/>
    <x v="1"/>
    <x v="0"/>
    <n v="0"/>
    <x v="35"/>
    <x v="2"/>
    <x v="1"/>
    <n v="73"/>
    <n v="94.17"/>
    <n v="511"/>
    <x v="248"/>
    <x v="11"/>
    <x v="5"/>
    <x v="1"/>
  </r>
  <r>
    <d v="2022-06-26T00:00:00"/>
    <x v="13"/>
    <n v="4"/>
    <x v="2"/>
    <x v="1"/>
    <n v="0"/>
    <x v="13"/>
    <x v="4"/>
    <x v="2"/>
    <n v="55"/>
    <n v="58.3"/>
    <n v="220"/>
    <x v="15"/>
    <x v="12"/>
    <x v="5"/>
    <x v="1"/>
  </r>
  <r>
    <d v="2022-06-26T00:00:00"/>
    <x v="23"/>
    <n v="12"/>
    <x v="2"/>
    <x v="0"/>
    <n v="0"/>
    <x v="23"/>
    <x v="1"/>
    <x v="1"/>
    <n v="67"/>
    <n v="83.08"/>
    <n v="804"/>
    <x v="295"/>
    <x v="12"/>
    <x v="5"/>
    <x v="1"/>
  </r>
  <r>
    <d v="2022-07-03T00:00:00"/>
    <x v="38"/>
    <n v="15"/>
    <x v="2"/>
    <x v="1"/>
    <n v="0"/>
    <x v="38"/>
    <x v="4"/>
    <x v="1"/>
    <n v="95"/>
    <n v="119.7"/>
    <n v="1425"/>
    <x v="296"/>
    <x v="2"/>
    <x v="6"/>
    <x v="1"/>
  </r>
  <r>
    <d v="2022-07-04T00:00:00"/>
    <x v="36"/>
    <n v="7"/>
    <x v="2"/>
    <x v="0"/>
    <n v="0"/>
    <x v="36"/>
    <x v="3"/>
    <x v="2"/>
    <n v="43"/>
    <n v="47.730000000000004"/>
    <n v="301"/>
    <x v="297"/>
    <x v="3"/>
    <x v="6"/>
    <x v="1"/>
  </r>
  <r>
    <d v="2022-07-05T00:00:00"/>
    <x v="7"/>
    <n v="7"/>
    <x v="1"/>
    <x v="1"/>
    <n v="0"/>
    <x v="7"/>
    <x v="0"/>
    <x v="3"/>
    <n v="7"/>
    <n v="8.33"/>
    <n v="49"/>
    <x v="298"/>
    <x v="15"/>
    <x v="6"/>
    <x v="1"/>
  </r>
  <r>
    <d v="2022-07-05T00:00:00"/>
    <x v="27"/>
    <n v="8"/>
    <x v="2"/>
    <x v="0"/>
    <n v="0"/>
    <x v="27"/>
    <x v="2"/>
    <x v="3"/>
    <n v="12"/>
    <n v="15.719999999999999"/>
    <n v="96"/>
    <x v="299"/>
    <x v="15"/>
    <x v="6"/>
    <x v="1"/>
  </r>
  <r>
    <d v="2022-07-06T00:00:00"/>
    <x v="41"/>
    <n v="2"/>
    <x v="2"/>
    <x v="1"/>
    <n v="0"/>
    <x v="41"/>
    <x v="1"/>
    <x v="0"/>
    <n v="138"/>
    <n v="173.88"/>
    <n v="276"/>
    <x v="300"/>
    <x v="16"/>
    <x v="6"/>
    <x v="1"/>
  </r>
  <r>
    <d v="2022-07-08T00:00:00"/>
    <x v="30"/>
    <n v="2"/>
    <x v="2"/>
    <x v="0"/>
    <n v="0"/>
    <x v="30"/>
    <x v="2"/>
    <x v="3"/>
    <n v="37"/>
    <n v="49.21"/>
    <n v="74"/>
    <x v="265"/>
    <x v="21"/>
    <x v="6"/>
    <x v="1"/>
  </r>
  <r>
    <d v="2022-07-10T00:00:00"/>
    <x v="18"/>
    <n v="12"/>
    <x v="1"/>
    <x v="1"/>
    <n v="0"/>
    <x v="18"/>
    <x v="4"/>
    <x v="1"/>
    <n v="89"/>
    <n v="117.48"/>
    <n v="1068"/>
    <x v="112"/>
    <x v="26"/>
    <x v="6"/>
    <x v="1"/>
  </r>
  <r>
    <d v="2022-07-12T00:00:00"/>
    <x v="33"/>
    <n v="12"/>
    <x v="2"/>
    <x v="1"/>
    <n v="0"/>
    <x v="33"/>
    <x v="4"/>
    <x v="3"/>
    <n v="37"/>
    <n v="41.81"/>
    <n v="444"/>
    <x v="301"/>
    <x v="6"/>
    <x v="6"/>
    <x v="1"/>
  </r>
  <r>
    <d v="2022-07-13T00:00:00"/>
    <x v="7"/>
    <n v="7"/>
    <x v="2"/>
    <x v="0"/>
    <n v="0"/>
    <x v="7"/>
    <x v="0"/>
    <x v="3"/>
    <n v="7"/>
    <n v="8.33"/>
    <n v="49"/>
    <x v="298"/>
    <x v="22"/>
    <x v="6"/>
    <x v="1"/>
  </r>
  <r>
    <d v="2022-07-14T00:00:00"/>
    <x v="38"/>
    <n v="9"/>
    <x v="2"/>
    <x v="0"/>
    <n v="0"/>
    <x v="38"/>
    <x v="4"/>
    <x v="1"/>
    <n v="95"/>
    <n v="119.7"/>
    <n v="855"/>
    <x v="126"/>
    <x v="29"/>
    <x v="6"/>
    <x v="1"/>
  </r>
  <r>
    <d v="2022-07-15T00:00:00"/>
    <x v="3"/>
    <n v="2"/>
    <x v="1"/>
    <x v="0"/>
    <n v="0"/>
    <x v="3"/>
    <x v="3"/>
    <x v="2"/>
    <n v="44"/>
    <n v="48.84"/>
    <n v="88"/>
    <x v="252"/>
    <x v="17"/>
    <x v="6"/>
    <x v="1"/>
  </r>
  <r>
    <d v="2022-07-17T00:00:00"/>
    <x v="41"/>
    <n v="8"/>
    <x v="1"/>
    <x v="1"/>
    <n v="0"/>
    <x v="41"/>
    <x v="1"/>
    <x v="0"/>
    <n v="138"/>
    <n v="173.88"/>
    <n v="1104"/>
    <x v="159"/>
    <x v="30"/>
    <x v="6"/>
    <x v="1"/>
  </r>
  <r>
    <d v="2022-07-18T00:00:00"/>
    <x v="20"/>
    <n v="12"/>
    <x v="2"/>
    <x v="0"/>
    <n v="0"/>
    <x v="20"/>
    <x v="2"/>
    <x v="0"/>
    <n v="148"/>
    <n v="164.28"/>
    <n v="1776"/>
    <x v="302"/>
    <x v="7"/>
    <x v="6"/>
    <x v="1"/>
  </r>
  <r>
    <d v="2022-07-20T00:00:00"/>
    <x v="10"/>
    <n v="8"/>
    <x v="0"/>
    <x v="0"/>
    <n v="0"/>
    <x v="10"/>
    <x v="1"/>
    <x v="0"/>
    <n v="120"/>
    <n v="162"/>
    <n v="960"/>
    <x v="59"/>
    <x v="9"/>
    <x v="6"/>
    <x v="1"/>
  </r>
  <r>
    <d v="2022-07-22T00:00:00"/>
    <x v="13"/>
    <n v="6"/>
    <x v="2"/>
    <x v="1"/>
    <n v="0"/>
    <x v="13"/>
    <x v="4"/>
    <x v="2"/>
    <n v="55"/>
    <n v="58.3"/>
    <n v="330"/>
    <x v="20"/>
    <x v="18"/>
    <x v="6"/>
    <x v="1"/>
  </r>
  <r>
    <d v="2022-07-23T00:00:00"/>
    <x v="30"/>
    <n v="2"/>
    <x v="1"/>
    <x v="0"/>
    <n v="0"/>
    <x v="30"/>
    <x v="2"/>
    <x v="3"/>
    <n v="37"/>
    <n v="49.21"/>
    <n v="74"/>
    <x v="265"/>
    <x v="19"/>
    <x v="6"/>
    <x v="1"/>
  </r>
  <r>
    <d v="2022-07-24T00:00:00"/>
    <x v="15"/>
    <n v="14"/>
    <x v="2"/>
    <x v="1"/>
    <n v="0"/>
    <x v="15"/>
    <x v="3"/>
    <x v="1"/>
    <n v="75"/>
    <n v="85.5"/>
    <n v="1050"/>
    <x v="303"/>
    <x v="27"/>
    <x v="6"/>
    <x v="1"/>
  </r>
  <r>
    <d v="2022-07-24T00:00:00"/>
    <x v="26"/>
    <n v="1"/>
    <x v="1"/>
    <x v="0"/>
    <n v="0"/>
    <x v="26"/>
    <x v="4"/>
    <x v="2"/>
    <n v="48"/>
    <n v="57.120000000000005"/>
    <n v="48"/>
    <x v="275"/>
    <x v="27"/>
    <x v="6"/>
    <x v="1"/>
  </r>
  <r>
    <d v="2022-07-25T00:00:00"/>
    <x v="11"/>
    <n v="2"/>
    <x v="2"/>
    <x v="1"/>
    <n v="0"/>
    <x v="11"/>
    <x v="1"/>
    <x v="1"/>
    <n v="76"/>
    <n v="82.08"/>
    <n v="152"/>
    <x v="304"/>
    <x v="11"/>
    <x v="6"/>
    <x v="1"/>
  </r>
  <r>
    <d v="2022-07-25T00:00:00"/>
    <x v="39"/>
    <n v="12"/>
    <x v="2"/>
    <x v="1"/>
    <n v="0"/>
    <x v="39"/>
    <x v="2"/>
    <x v="0"/>
    <n v="134"/>
    <n v="156.78"/>
    <n v="1608"/>
    <x v="277"/>
    <x v="11"/>
    <x v="6"/>
    <x v="1"/>
  </r>
  <r>
    <d v="2022-07-25T00:00:00"/>
    <x v="6"/>
    <n v="13"/>
    <x v="1"/>
    <x v="1"/>
    <n v="0"/>
    <x v="6"/>
    <x v="3"/>
    <x v="1"/>
    <n v="71"/>
    <n v="80.94"/>
    <n v="923"/>
    <x v="305"/>
    <x v="11"/>
    <x v="6"/>
    <x v="1"/>
  </r>
  <r>
    <d v="2022-07-26T00:00:00"/>
    <x v="6"/>
    <n v="10"/>
    <x v="1"/>
    <x v="0"/>
    <n v="0"/>
    <x v="6"/>
    <x v="3"/>
    <x v="1"/>
    <n v="71"/>
    <n v="80.94"/>
    <n v="710"/>
    <x v="306"/>
    <x v="12"/>
    <x v="6"/>
    <x v="1"/>
  </r>
  <r>
    <d v="2022-07-26T00:00:00"/>
    <x v="42"/>
    <n v="1"/>
    <x v="1"/>
    <x v="1"/>
    <n v="0"/>
    <x v="42"/>
    <x v="4"/>
    <x v="3"/>
    <n v="18"/>
    <n v="24.66"/>
    <n v="18"/>
    <x v="307"/>
    <x v="12"/>
    <x v="6"/>
    <x v="1"/>
  </r>
  <r>
    <d v="2022-08-03T00:00:00"/>
    <x v="35"/>
    <n v="5"/>
    <x v="2"/>
    <x v="1"/>
    <n v="0"/>
    <x v="35"/>
    <x v="2"/>
    <x v="1"/>
    <n v="73"/>
    <n v="94.17"/>
    <n v="365"/>
    <x v="278"/>
    <x v="2"/>
    <x v="7"/>
    <x v="1"/>
  </r>
  <r>
    <d v="2022-08-06T00:00:00"/>
    <x v="21"/>
    <n v="9"/>
    <x v="1"/>
    <x v="0"/>
    <n v="0"/>
    <x v="21"/>
    <x v="2"/>
    <x v="3"/>
    <n v="13"/>
    <n v="16.64"/>
    <n v="117"/>
    <x v="308"/>
    <x v="16"/>
    <x v="7"/>
    <x v="1"/>
  </r>
  <r>
    <d v="2022-08-08T00:00:00"/>
    <x v="21"/>
    <n v="2"/>
    <x v="2"/>
    <x v="0"/>
    <n v="0"/>
    <x v="21"/>
    <x v="2"/>
    <x v="3"/>
    <n v="13"/>
    <n v="16.64"/>
    <n v="26"/>
    <x v="256"/>
    <x v="21"/>
    <x v="7"/>
    <x v="1"/>
  </r>
  <r>
    <d v="2022-08-08T00:00:00"/>
    <x v="18"/>
    <n v="12"/>
    <x v="2"/>
    <x v="1"/>
    <n v="0"/>
    <x v="18"/>
    <x v="4"/>
    <x v="1"/>
    <n v="89"/>
    <n v="117.48"/>
    <n v="1068"/>
    <x v="112"/>
    <x v="21"/>
    <x v="7"/>
    <x v="1"/>
  </r>
  <r>
    <d v="2022-08-08T00:00:00"/>
    <x v="32"/>
    <n v="11"/>
    <x v="2"/>
    <x v="1"/>
    <n v="0"/>
    <x v="32"/>
    <x v="0"/>
    <x v="0"/>
    <n v="126"/>
    <n v="162.54"/>
    <n v="1386"/>
    <x v="309"/>
    <x v="21"/>
    <x v="7"/>
    <x v="1"/>
  </r>
  <r>
    <d v="2022-08-14T00:00:00"/>
    <x v="28"/>
    <n v="14"/>
    <x v="2"/>
    <x v="1"/>
    <n v="0"/>
    <x v="28"/>
    <x v="4"/>
    <x v="0"/>
    <n v="148"/>
    <n v="201.28"/>
    <n v="2072"/>
    <x v="177"/>
    <x v="29"/>
    <x v="7"/>
    <x v="1"/>
  </r>
  <r>
    <d v="2022-08-15T00:00:00"/>
    <x v="31"/>
    <n v="10"/>
    <x v="0"/>
    <x v="1"/>
    <n v="0"/>
    <x v="31"/>
    <x v="2"/>
    <x v="2"/>
    <n v="44"/>
    <n v="48.4"/>
    <n v="440"/>
    <x v="216"/>
    <x v="17"/>
    <x v="7"/>
    <x v="1"/>
  </r>
  <r>
    <d v="2022-08-15T00:00:00"/>
    <x v="27"/>
    <n v="7"/>
    <x v="2"/>
    <x v="0"/>
    <n v="0"/>
    <x v="27"/>
    <x v="2"/>
    <x v="3"/>
    <n v="12"/>
    <n v="15.719999999999999"/>
    <n v="84"/>
    <x v="310"/>
    <x v="17"/>
    <x v="7"/>
    <x v="1"/>
  </r>
  <r>
    <d v="2022-08-18T00:00:00"/>
    <x v="19"/>
    <n v="8"/>
    <x v="1"/>
    <x v="0"/>
    <n v="0"/>
    <x v="19"/>
    <x v="4"/>
    <x v="2"/>
    <n v="47"/>
    <n v="53.11"/>
    <n v="376"/>
    <x v="67"/>
    <x v="7"/>
    <x v="7"/>
    <x v="1"/>
  </r>
  <r>
    <d v="2022-08-18T00:00:00"/>
    <x v="20"/>
    <n v="2"/>
    <x v="1"/>
    <x v="1"/>
    <n v="0"/>
    <x v="20"/>
    <x v="2"/>
    <x v="0"/>
    <n v="148"/>
    <n v="164.28"/>
    <n v="296"/>
    <x v="311"/>
    <x v="7"/>
    <x v="7"/>
    <x v="1"/>
  </r>
  <r>
    <d v="2022-08-19T00:00:00"/>
    <x v="36"/>
    <n v="3"/>
    <x v="1"/>
    <x v="0"/>
    <n v="0"/>
    <x v="36"/>
    <x v="3"/>
    <x v="2"/>
    <n v="43"/>
    <n v="47.730000000000004"/>
    <n v="129"/>
    <x v="312"/>
    <x v="8"/>
    <x v="7"/>
    <x v="1"/>
  </r>
  <r>
    <d v="2022-08-20T00:00:00"/>
    <x v="12"/>
    <n v="13"/>
    <x v="2"/>
    <x v="0"/>
    <n v="0"/>
    <x v="12"/>
    <x v="0"/>
    <x v="0"/>
    <n v="141"/>
    <n v="149.46"/>
    <n v="1833"/>
    <x v="103"/>
    <x v="9"/>
    <x v="7"/>
    <x v="1"/>
  </r>
  <r>
    <d v="2022-08-20T00:00:00"/>
    <x v="38"/>
    <n v="14"/>
    <x v="2"/>
    <x v="0"/>
    <n v="0"/>
    <x v="38"/>
    <x v="4"/>
    <x v="1"/>
    <n v="95"/>
    <n v="119.7"/>
    <n v="1330"/>
    <x v="313"/>
    <x v="9"/>
    <x v="7"/>
    <x v="1"/>
  </r>
  <r>
    <d v="2022-08-21T00:00:00"/>
    <x v="21"/>
    <n v="4"/>
    <x v="2"/>
    <x v="0"/>
    <n v="0"/>
    <x v="21"/>
    <x v="2"/>
    <x v="3"/>
    <n v="13"/>
    <n v="16.64"/>
    <n v="52"/>
    <x v="120"/>
    <x v="10"/>
    <x v="7"/>
    <x v="1"/>
  </r>
  <r>
    <d v="2022-08-23T00:00:00"/>
    <x v="11"/>
    <n v="11"/>
    <x v="1"/>
    <x v="0"/>
    <n v="0"/>
    <x v="11"/>
    <x v="1"/>
    <x v="1"/>
    <n v="76"/>
    <n v="82.08"/>
    <n v="836"/>
    <x v="314"/>
    <x v="19"/>
    <x v="7"/>
    <x v="1"/>
  </r>
  <r>
    <d v="2022-08-23T00:00:00"/>
    <x v="19"/>
    <n v="14"/>
    <x v="2"/>
    <x v="1"/>
    <n v="0"/>
    <x v="19"/>
    <x v="4"/>
    <x v="2"/>
    <n v="47"/>
    <n v="53.11"/>
    <n v="658"/>
    <x v="220"/>
    <x v="19"/>
    <x v="7"/>
    <x v="1"/>
  </r>
  <r>
    <d v="2022-08-24T00:00:00"/>
    <x v="24"/>
    <n v="5"/>
    <x v="2"/>
    <x v="1"/>
    <n v="0"/>
    <x v="24"/>
    <x v="3"/>
    <x v="0"/>
    <n v="133"/>
    <n v="155.61000000000001"/>
    <n v="665"/>
    <x v="315"/>
    <x v="27"/>
    <x v="7"/>
    <x v="1"/>
  </r>
  <r>
    <d v="2022-08-26T00:00:00"/>
    <x v="40"/>
    <n v="13"/>
    <x v="0"/>
    <x v="1"/>
    <n v="0"/>
    <x v="40"/>
    <x v="2"/>
    <x v="0"/>
    <n v="150"/>
    <n v="210"/>
    <n v="1950"/>
    <x v="87"/>
    <x v="12"/>
    <x v="7"/>
    <x v="1"/>
  </r>
  <r>
    <d v="2022-08-26T00:00:00"/>
    <x v="8"/>
    <n v="8"/>
    <x v="1"/>
    <x v="0"/>
    <n v="0"/>
    <x v="8"/>
    <x v="1"/>
    <x v="1"/>
    <n v="67"/>
    <n v="85.76"/>
    <n v="536"/>
    <x v="137"/>
    <x v="12"/>
    <x v="7"/>
    <x v="1"/>
  </r>
  <r>
    <d v="2022-08-27T00:00:00"/>
    <x v="34"/>
    <n v="15"/>
    <x v="0"/>
    <x v="0"/>
    <n v="0"/>
    <x v="34"/>
    <x v="1"/>
    <x v="3"/>
    <n v="37"/>
    <n v="42.55"/>
    <n v="555"/>
    <x v="205"/>
    <x v="13"/>
    <x v="7"/>
    <x v="1"/>
  </r>
  <r>
    <d v="2022-08-28T00:00:00"/>
    <x v="24"/>
    <n v="9"/>
    <x v="1"/>
    <x v="0"/>
    <n v="0"/>
    <x v="24"/>
    <x v="3"/>
    <x v="0"/>
    <n v="133"/>
    <n v="155.61000000000001"/>
    <n v="1197"/>
    <x v="237"/>
    <x v="14"/>
    <x v="7"/>
    <x v="1"/>
  </r>
  <r>
    <d v="2022-08-28T00:00:00"/>
    <x v="34"/>
    <n v="5"/>
    <x v="2"/>
    <x v="0"/>
    <n v="0"/>
    <x v="34"/>
    <x v="1"/>
    <x v="3"/>
    <n v="37"/>
    <n v="42.55"/>
    <n v="185"/>
    <x v="316"/>
    <x v="14"/>
    <x v="7"/>
    <x v="1"/>
  </r>
  <r>
    <d v="2022-08-30T00:00:00"/>
    <x v="15"/>
    <n v="6"/>
    <x v="1"/>
    <x v="1"/>
    <n v="0"/>
    <x v="15"/>
    <x v="3"/>
    <x v="1"/>
    <n v="75"/>
    <n v="85.5"/>
    <n v="450"/>
    <x v="146"/>
    <x v="24"/>
    <x v="7"/>
    <x v="1"/>
  </r>
  <r>
    <d v="2022-08-30T00:00:00"/>
    <x v="23"/>
    <n v="6"/>
    <x v="2"/>
    <x v="1"/>
    <n v="0"/>
    <x v="23"/>
    <x v="1"/>
    <x v="1"/>
    <n v="67"/>
    <n v="83.08"/>
    <n v="402"/>
    <x v="317"/>
    <x v="24"/>
    <x v="7"/>
    <x v="1"/>
  </r>
  <r>
    <d v="2022-08-30T00:00:00"/>
    <x v="7"/>
    <n v="5"/>
    <x v="2"/>
    <x v="1"/>
    <n v="0"/>
    <x v="7"/>
    <x v="0"/>
    <x v="3"/>
    <n v="7"/>
    <n v="8.33"/>
    <n v="35"/>
    <x v="318"/>
    <x v="24"/>
    <x v="7"/>
    <x v="1"/>
  </r>
  <r>
    <d v="2022-08-31T00:00:00"/>
    <x v="27"/>
    <n v="13"/>
    <x v="2"/>
    <x v="1"/>
    <n v="0"/>
    <x v="27"/>
    <x v="2"/>
    <x v="3"/>
    <n v="12"/>
    <n v="15.719999999999999"/>
    <n v="156"/>
    <x v="92"/>
    <x v="25"/>
    <x v="7"/>
    <x v="1"/>
  </r>
  <r>
    <d v="2022-09-04T00:00:00"/>
    <x v="29"/>
    <n v="1"/>
    <x v="2"/>
    <x v="1"/>
    <n v="0"/>
    <x v="29"/>
    <x v="3"/>
    <x v="1"/>
    <n v="105"/>
    <n v="142.80000000000001"/>
    <n v="105"/>
    <x v="319"/>
    <x v="3"/>
    <x v="8"/>
    <x v="1"/>
  </r>
  <r>
    <d v="2022-09-06T00:00:00"/>
    <x v="24"/>
    <n v="12"/>
    <x v="0"/>
    <x v="0"/>
    <n v="0"/>
    <x v="24"/>
    <x v="3"/>
    <x v="0"/>
    <n v="133"/>
    <n v="155.61000000000001"/>
    <n v="1596"/>
    <x v="320"/>
    <x v="16"/>
    <x v="8"/>
    <x v="1"/>
  </r>
  <r>
    <d v="2022-09-09T00:00:00"/>
    <x v="41"/>
    <n v="9"/>
    <x v="2"/>
    <x v="0"/>
    <n v="0"/>
    <x v="41"/>
    <x v="1"/>
    <x v="0"/>
    <n v="138"/>
    <n v="173.88"/>
    <n v="1242"/>
    <x v="236"/>
    <x v="4"/>
    <x v="8"/>
    <x v="1"/>
  </r>
  <r>
    <d v="2022-09-09T00:00:00"/>
    <x v="6"/>
    <n v="3"/>
    <x v="2"/>
    <x v="0"/>
    <n v="0"/>
    <x v="6"/>
    <x v="3"/>
    <x v="1"/>
    <n v="71"/>
    <n v="80.94"/>
    <n v="213"/>
    <x v="148"/>
    <x v="4"/>
    <x v="8"/>
    <x v="1"/>
  </r>
  <r>
    <d v="2022-09-10T00:00:00"/>
    <x v="4"/>
    <n v="15"/>
    <x v="1"/>
    <x v="1"/>
    <n v="0"/>
    <x v="4"/>
    <x v="4"/>
    <x v="3"/>
    <n v="5"/>
    <n v="6.7"/>
    <n v="75"/>
    <x v="100"/>
    <x v="26"/>
    <x v="8"/>
    <x v="1"/>
  </r>
  <r>
    <d v="2022-09-10T00:00:00"/>
    <x v="1"/>
    <n v="4"/>
    <x v="2"/>
    <x v="1"/>
    <n v="0"/>
    <x v="1"/>
    <x v="1"/>
    <x v="1"/>
    <n v="72"/>
    <n v="79.92"/>
    <n v="288"/>
    <x v="321"/>
    <x v="26"/>
    <x v="8"/>
    <x v="1"/>
  </r>
  <r>
    <d v="2022-09-14T00:00:00"/>
    <x v="19"/>
    <n v="3"/>
    <x v="2"/>
    <x v="1"/>
    <n v="0"/>
    <x v="19"/>
    <x v="4"/>
    <x v="2"/>
    <n v="47"/>
    <n v="53.11"/>
    <n v="141"/>
    <x v="215"/>
    <x v="29"/>
    <x v="8"/>
    <x v="1"/>
  </r>
  <r>
    <d v="2022-09-15T00:00:00"/>
    <x v="8"/>
    <n v="15"/>
    <x v="1"/>
    <x v="0"/>
    <n v="0"/>
    <x v="8"/>
    <x v="1"/>
    <x v="1"/>
    <n v="67"/>
    <n v="85.76"/>
    <n v="1005"/>
    <x v="250"/>
    <x v="17"/>
    <x v="8"/>
    <x v="1"/>
  </r>
  <r>
    <d v="2022-09-18T00:00:00"/>
    <x v="42"/>
    <n v="14"/>
    <x v="1"/>
    <x v="1"/>
    <n v="0"/>
    <x v="42"/>
    <x v="4"/>
    <x v="3"/>
    <n v="18"/>
    <n v="24.66"/>
    <n v="252"/>
    <x v="266"/>
    <x v="7"/>
    <x v="8"/>
    <x v="1"/>
  </r>
  <r>
    <d v="2022-09-19T00:00:00"/>
    <x v="38"/>
    <n v="8"/>
    <x v="0"/>
    <x v="1"/>
    <n v="0"/>
    <x v="38"/>
    <x v="4"/>
    <x v="1"/>
    <n v="95"/>
    <n v="119.7"/>
    <n v="760"/>
    <x v="322"/>
    <x v="8"/>
    <x v="8"/>
    <x v="1"/>
  </r>
  <r>
    <d v="2022-09-20T00:00:00"/>
    <x v="38"/>
    <n v="6"/>
    <x v="2"/>
    <x v="0"/>
    <n v="0"/>
    <x v="38"/>
    <x v="4"/>
    <x v="1"/>
    <n v="95"/>
    <n v="119.7"/>
    <n v="570"/>
    <x v="109"/>
    <x v="9"/>
    <x v="8"/>
    <x v="1"/>
  </r>
  <r>
    <d v="2022-09-20T00:00:00"/>
    <x v="16"/>
    <n v="10"/>
    <x v="2"/>
    <x v="0"/>
    <n v="0"/>
    <x v="16"/>
    <x v="3"/>
    <x v="1"/>
    <n v="98"/>
    <n v="103.88"/>
    <n v="980"/>
    <x v="323"/>
    <x v="9"/>
    <x v="8"/>
    <x v="1"/>
  </r>
  <r>
    <d v="2022-09-21T00:00:00"/>
    <x v="30"/>
    <n v="14"/>
    <x v="1"/>
    <x v="0"/>
    <n v="0"/>
    <x v="30"/>
    <x v="2"/>
    <x v="3"/>
    <n v="37"/>
    <n v="49.21"/>
    <n v="518"/>
    <x v="324"/>
    <x v="10"/>
    <x v="8"/>
    <x v="1"/>
  </r>
  <r>
    <d v="2022-09-21T00:00:00"/>
    <x v="42"/>
    <n v="5"/>
    <x v="2"/>
    <x v="1"/>
    <n v="0"/>
    <x v="42"/>
    <x v="4"/>
    <x v="3"/>
    <n v="18"/>
    <n v="24.66"/>
    <n v="90"/>
    <x v="325"/>
    <x v="10"/>
    <x v="8"/>
    <x v="1"/>
  </r>
  <r>
    <d v="2022-09-22T00:00:00"/>
    <x v="23"/>
    <n v="12"/>
    <x v="1"/>
    <x v="0"/>
    <n v="0"/>
    <x v="23"/>
    <x v="1"/>
    <x v="1"/>
    <n v="67"/>
    <n v="83.08"/>
    <n v="804"/>
    <x v="295"/>
    <x v="18"/>
    <x v="8"/>
    <x v="1"/>
  </r>
  <r>
    <d v="2022-09-23T00:00:00"/>
    <x v="35"/>
    <n v="12"/>
    <x v="2"/>
    <x v="0"/>
    <n v="0"/>
    <x v="35"/>
    <x v="2"/>
    <x v="1"/>
    <n v="73"/>
    <n v="94.17"/>
    <n v="876"/>
    <x v="326"/>
    <x v="19"/>
    <x v="8"/>
    <x v="1"/>
  </r>
  <r>
    <d v="2022-09-24T00:00:00"/>
    <x v="18"/>
    <n v="14"/>
    <x v="2"/>
    <x v="0"/>
    <n v="0"/>
    <x v="18"/>
    <x v="4"/>
    <x v="1"/>
    <n v="89"/>
    <n v="117.48"/>
    <n v="1246"/>
    <x v="242"/>
    <x v="27"/>
    <x v="8"/>
    <x v="1"/>
  </r>
  <r>
    <d v="2022-09-24T00:00:00"/>
    <x v="18"/>
    <n v="8"/>
    <x v="2"/>
    <x v="1"/>
    <n v="0"/>
    <x v="18"/>
    <x v="4"/>
    <x v="1"/>
    <n v="89"/>
    <n v="117.48"/>
    <n v="712"/>
    <x v="327"/>
    <x v="27"/>
    <x v="8"/>
    <x v="1"/>
  </r>
  <r>
    <d v="2022-09-27T00:00:00"/>
    <x v="43"/>
    <n v="4"/>
    <x v="2"/>
    <x v="1"/>
    <n v="0"/>
    <x v="43"/>
    <x v="4"/>
    <x v="1"/>
    <n v="90"/>
    <n v="96.3"/>
    <n v="360"/>
    <x v="328"/>
    <x v="13"/>
    <x v="8"/>
    <x v="1"/>
  </r>
  <r>
    <d v="2022-09-27T00:00:00"/>
    <x v="11"/>
    <n v="9"/>
    <x v="2"/>
    <x v="1"/>
    <n v="0"/>
    <x v="11"/>
    <x v="1"/>
    <x v="1"/>
    <n v="76"/>
    <n v="82.08"/>
    <n v="684"/>
    <x v="23"/>
    <x v="13"/>
    <x v="8"/>
    <x v="1"/>
  </r>
  <r>
    <d v="2022-09-27T00:00:00"/>
    <x v="1"/>
    <n v="3"/>
    <x v="0"/>
    <x v="1"/>
    <n v="0"/>
    <x v="1"/>
    <x v="1"/>
    <x v="1"/>
    <n v="72"/>
    <n v="79.92"/>
    <n v="216"/>
    <x v="329"/>
    <x v="13"/>
    <x v="8"/>
    <x v="1"/>
  </r>
  <r>
    <d v="2022-09-29T00:00:00"/>
    <x v="13"/>
    <n v="13"/>
    <x v="2"/>
    <x v="0"/>
    <n v="0"/>
    <x v="13"/>
    <x v="4"/>
    <x v="2"/>
    <n v="55"/>
    <n v="58.3"/>
    <n v="715"/>
    <x v="330"/>
    <x v="28"/>
    <x v="8"/>
    <x v="1"/>
  </r>
  <r>
    <d v="2022-10-03T00:00:00"/>
    <x v="31"/>
    <n v="5"/>
    <x v="2"/>
    <x v="1"/>
    <n v="0"/>
    <x v="31"/>
    <x v="2"/>
    <x v="2"/>
    <n v="44"/>
    <n v="48.4"/>
    <n v="220"/>
    <x v="331"/>
    <x v="2"/>
    <x v="9"/>
    <x v="1"/>
  </r>
  <r>
    <d v="2022-10-04T00:00:00"/>
    <x v="36"/>
    <n v="15"/>
    <x v="2"/>
    <x v="0"/>
    <n v="0"/>
    <x v="36"/>
    <x v="3"/>
    <x v="2"/>
    <n v="43"/>
    <n v="47.730000000000004"/>
    <n v="645"/>
    <x v="198"/>
    <x v="3"/>
    <x v="9"/>
    <x v="1"/>
  </r>
  <r>
    <d v="2022-10-06T00:00:00"/>
    <x v="4"/>
    <n v="1"/>
    <x v="2"/>
    <x v="0"/>
    <n v="0"/>
    <x v="4"/>
    <x v="4"/>
    <x v="3"/>
    <n v="5"/>
    <n v="6.7"/>
    <n v="5"/>
    <x v="37"/>
    <x v="16"/>
    <x v="9"/>
    <x v="1"/>
  </r>
  <r>
    <d v="2022-10-09T00:00:00"/>
    <x v="1"/>
    <n v="14"/>
    <x v="1"/>
    <x v="0"/>
    <n v="0"/>
    <x v="1"/>
    <x v="1"/>
    <x v="1"/>
    <n v="72"/>
    <n v="79.92"/>
    <n v="1008"/>
    <x v="194"/>
    <x v="4"/>
    <x v="9"/>
    <x v="1"/>
  </r>
  <r>
    <d v="2022-10-10T00:00:00"/>
    <x v="40"/>
    <n v="9"/>
    <x v="2"/>
    <x v="0"/>
    <n v="0"/>
    <x v="40"/>
    <x v="2"/>
    <x v="0"/>
    <n v="150"/>
    <n v="210"/>
    <n v="1350"/>
    <x v="179"/>
    <x v="26"/>
    <x v="9"/>
    <x v="1"/>
  </r>
  <r>
    <d v="2022-10-10T00:00:00"/>
    <x v="11"/>
    <n v="12"/>
    <x v="1"/>
    <x v="0"/>
    <n v="0"/>
    <x v="11"/>
    <x v="1"/>
    <x v="1"/>
    <n v="76"/>
    <n v="82.08"/>
    <n v="912"/>
    <x v="332"/>
    <x v="26"/>
    <x v="9"/>
    <x v="1"/>
  </r>
  <r>
    <d v="2022-10-11T00:00:00"/>
    <x v="25"/>
    <n v="10"/>
    <x v="2"/>
    <x v="0"/>
    <n v="0"/>
    <x v="25"/>
    <x v="3"/>
    <x v="1"/>
    <n v="83"/>
    <n v="94.62"/>
    <n v="830"/>
    <x v="333"/>
    <x v="5"/>
    <x v="9"/>
    <x v="1"/>
  </r>
  <r>
    <d v="2022-10-13T00:00:00"/>
    <x v="29"/>
    <n v="15"/>
    <x v="1"/>
    <x v="0"/>
    <n v="0"/>
    <x v="29"/>
    <x v="3"/>
    <x v="1"/>
    <n v="105"/>
    <n v="142.80000000000001"/>
    <n v="1575"/>
    <x v="334"/>
    <x v="22"/>
    <x v="9"/>
    <x v="1"/>
  </r>
  <r>
    <d v="2022-10-14T00:00:00"/>
    <x v="11"/>
    <n v="15"/>
    <x v="0"/>
    <x v="0"/>
    <n v="0"/>
    <x v="11"/>
    <x v="1"/>
    <x v="1"/>
    <n v="76"/>
    <n v="82.08"/>
    <n v="1140"/>
    <x v="138"/>
    <x v="29"/>
    <x v="9"/>
    <x v="1"/>
  </r>
  <r>
    <d v="2022-10-15T00:00:00"/>
    <x v="27"/>
    <n v="10"/>
    <x v="2"/>
    <x v="1"/>
    <n v="0"/>
    <x v="27"/>
    <x v="2"/>
    <x v="3"/>
    <n v="12"/>
    <n v="15.719999999999999"/>
    <n v="120"/>
    <x v="335"/>
    <x v="17"/>
    <x v="9"/>
    <x v="1"/>
  </r>
  <r>
    <d v="2022-10-16T00:00:00"/>
    <x v="43"/>
    <n v="3"/>
    <x v="1"/>
    <x v="0"/>
    <n v="0"/>
    <x v="43"/>
    <x v="4"/>
    <x v="1"/>
    <n v="90"/>
    <n v="96.3"/>
    <n v="270"/>
    <x v="336"/>
    <x v="23"/>
    <x v="9"/>
    <x v="1"/>
  </r>
  <r>
    <d v="2022-10-23T00:00:00"/>
    <x v="0"/>
    <n v="14"/>
    <x v="1"/>
    <x v="1"/>
    <n v="0"/>
    <x v="0"/>
    <x v="0"/>
    <x v="0"/>
    <n v="144"/>
    <n v="156.96"/>
    <n v="2016"/>
    <x v="65"/>
    <x v="19"/>
    <x v="9"/>
    <x v="1"/>
  </r>
  <r>
    <d v="2022-10-30T00:00:00"/>
    <x v="10"/>
    <n v="3"/>
    <x v="2"/>
    <x v="1"/>
    <n v="0"/>
    <x v="10"/>
    <x v="1"/>
    <x v="0"/>
    <n v="120"/>
    <n v="162"/>
    <n v="360"/>
    <x v="75"/>
    <x v="24"/>
    <x v="9"/>
    <x v="1"/>
  </r>
  <r>
    <d v="2022-10-31T00:00:00"/>
    <x v="1"/>
    <n v="8"/>
    <x v="2"/>
    <x v="0"/>
    <n v="0"/>
    <x v="1"/>
    <x v="1"/>
    <x v="1"/>
    <n v="72"/>
    <n v="79.92"/>
    <n v="576"/>
    <x v="282"/>
    <x v="25"/>
    <x v="9"/>
    <x v="1"/>
  </r>
  <r>
    <d v="2022-11-01T00:00:00"/>
    <x v="35"/>
    <n v="15"/>
    <x v="0"/>
    <x v="0"/>
    <n v="0"/>
    <x v="35"/>
    <x v="2"/>
    <x v="1"/>
    <n v="73"/>
    <n v="94.17"/>
    <n v="1095"/>
    <x v="337"/>
    <x v="0"/>
    <x v="10"/>
    <x v="1"/>
  </r>
  <r>
    <d v="2022-11-02T00:00:00"/>
    <x v="27"/>
    <n v="15"/>
    <x v="0"/>
    <x v="1"/>
    <n v="0"/>
    <x v="27"/>
    <x v="2"/>
    <x v="3"/>
    <n v="12"/>
    <n v="15.719999999999999"/>
    <n v="180"/>
    <x v="338"/>
    <x v="1"/>
    <x v="10"/>
    <x v="1"/>
  </r>
  <r>
    <d v="2022-11-02T00:00:00"/>
    <x v="28"/>
    <n v="15"/>
    <x v="2"/>
    <x v="1"/>
    <n v="0"/>
    <x v="28"/>
    <x v="4"/>
    <x v="0"/>
    <n v="148"/>
    <n v="201.28"/>
    <n v="2220"/>
    <x v="232"/>
    <x v="1"/>
    <x v="10"/>
    <x v="1"/>
  </r>
  <r>
    <d v="2022-11-02T00:00:00"/>
    <x v="4"/>
    <n v="5"/>
    <x v="2"/>
    <x v="1"/>
    <n v="0"/>
    <x v="4"/>
    <x v="4"/>
    <x v="3"/>
    <n v="5"/>
    <n v="6.7"/>
    <n v="25"/>
    <x v="339"/>
    <x v="1"/>
    <x v="10"/>
    <x v="1"/>
  </r>
  <r>
    <d v="2022-11-03T00:00:00"/>
    <x v="14"/>
    <n v="11"/>
    <x v="1"/>
    <x v="0"/>
    <n v="0"/>
    <x v="14"/>
    <x v="0"/>
    <x v="2"/>
    <n v="61"/>
    <n v="76.25"/>
    <n v="671"/>
    <x v="340"/>
    <x v="2"/>
    <x v="10"/>
    <x v="1"/>
  </r>
  <r>
    <d v="2022-11-04T00:00:00"/>
    <x v="25"/>
    <n v="10"/>
    <x v="2"/>
    <x v="0"/>
    <n v="0"/>
    <x v="25"/>
    <x v="3"/>
    <x v="1"/>
    <n v="83"/>
    <n v="94.62"/>
    <n v="830"/>
    <x v="333"/>
    <x v="3"/>
    <x v="10"/>
    <x v="1"/>
  </r>
  <r>
    <d v="2022-11-05T00:00:00"/>
    <x v="40"/>
    <n v="15"/>
    <x v="2"/>
    <x v="1"/>
    <n v="0"/>
    <x v="40"/>
    <x v="2"/>
    <x v="0"/>
    <n v="150"/>
    <n v="210"/>
    <n v="2250"/>
    <x v="341"/>
    <x v="15"/>
    <x v="10"/>
    <x v="1"/>
  </r>
  <r>
    <d v="2022-11-06T00:00:00"/>
    <x v="23"/>
    <n v="13"/>
    <x v="2"/>
    <x v="1"/>
    <n v="0"/>
    <x v="23"/>
    <x v="1"/>
    <x v="1"/>
    <n v="67"/>
    <n v="83.08"/>
    <n v="871"/>
    <x v="342"/>
    <x v="16"/>
    <x v="10"/>
    <x v="1"/>
  </r>
  <r>
    <d v="2022-11-06T00:00:00"/>
    <x v="27"/>
    <n v="13"/>
    <x v="1"/>
    <x v="0"/>
    <n v="0"/>
    <x v="27"/>
    <x v="2"/>
    <x v="3"/>
    <n v="12"/>
    <n v="15.719999999999999"/>
    <n v="156"/>
    <x v="92"/>
    <x v="16"/>
    <x v="10"/>
    <x v="1"/>
  </r>
  <r>
    <d v="2022-11-06T00:00:00"/>
    <x v="10"/>
    <n v="13"/>
    <x v="2"/>
    <x v="1"/>
    <n v="0"/>
    <x v="10"/>
    <x v="1"/>
    <x v="0"/>
    <n v="120"/>
    <n v="162"/>
    <n v="1560"/>
    <x v="343"/>
    <x v="16"/>
    <x v="10"/>
    <x v="1"/>
  </r>
  <r>
    <d v="2022-11-07T00:00:00"/>
    <x v="17"/>
    <n v="13"/>
    <x v="1"/>
    <x v="1"/>
    <n v="0"/>
    <x v="17"/>
    <x v="1"/>
    <x v="1"/>
    <n v="90"/>
    <n v="115.2"/>
    <n v="1170"/>
    <x v="344"/>
    <x v="20"/>
    <x v="10"/>
    <x v="1"/>
  </r>
  <r>
    <d v="2022-11-08T00:00:00"/>
    <x v="43"/>
    <n v="11"/>
    <x v="0"/>
    <x v="1"/>
    <n v="0"/>
    <x v="43"/>
    <x v="4"/>
    <x v="1"/>
    <n v="90"/>
    <n v="96.3"/>
    <n v="990"/>
    <x v="345"/>
    <x v="21"/>
    <x v="10"/>
    <x v="1"/>
  </r>
  <r>
    <d v="2022-11-08T00:00:00"/>
    <x v="40"/>
    <n v="10"/>
    <x v="0"/>
    <x v="0"/>
    <n v="0"/>
    <x v="40"/>
    <x v="2"/>
    <x v="0"/>
    <n v="150"/>
    <n v="210"/>
    <n v="1500"/>
    <x v="346"/>
    <x v="21"/>
    <x v="10"/>
    <x v="1"/>
  </r>
  <r>
    <d v="2022-11-09T00:00:00"/>
    <x v="26"/>
    <n v="8"/>
    <x v="1"/>
    <x v="1"/>
    <n v="0"/>
    <x v="26"/>
    <x v="4"/>
    <x v="2"/>
    <n v="48"/>
    <n v="57.120000000000005"/>
    <n v="384"/>
    <x v="185"/>
    <x v="4"/>
    <x v="10"/>
    <x v="1"/>
  </r>
  <r>
    <d v="2022-11-10T00:00:00"/>
    <x v="30"/>
    <n v="7"/>
    <x v="2"/>
    <x v="0"/>
    <n v="0"/>
    <x v="30"/>
    <x v="2"/>
    <x v="3"/>
    <n v="37"/>
    <n v="49.21"/>
    <n v="259"/>
    <x v="294"/>
    <x v="26"/>
    <x v="10"/>
    <x v="1"/>
  </r>
  <r>
    <d v="2022-11-13T00:00:00"/>
    <x v="26"/>
    <n v="10"/>
    <x v="0"/>
    <x v="1"/>
    <n v="0"/>
    <x v="26"/>
    <x v="4"/>
    <x v="2"/>
    <n v="48"/>
    <n v="57.120000000000005"/>
    <n v="480"/>
    <x v="47"/>
    <x v="22"/>
    <x v="10"/>
    <x v="1"/>
  </r>
  <r>
    <d v="2022-11-14T00:00:00"/>
    <x v="29"/>
    <n v="1"/>
    <x v="2"/>
    <x v="1"/>
    <n v="0"/>
    <x v="29"/>
    <x v="3"/>
    <x v="1"/>
    <n v="105"/>
    <n v="142.80000000000001"/>
    <n v="105"/>
    <x v="319"/>
    <x v="29"/>
    <x v="10"/>
    <x v="1"/>
  </r>
  <r>
    <d v="2022-11-15T00:00:00"/>
    <x v="35"/>
    <n v="14"/>
    <x v="2"/>
    <x v="1"/>
    <n v="0"/>
    <x v="35"/>
    <x v="2"/>
    <x v="1"/>
    <n v="73"/>
    <n v="94.17"/>
    <n v="1022"/>
    <x v="58"/>
    <x v="17"/>
    <x v="10"/>
    <x v="1"/>
  </r>
  <r>
    <d v="2022-11-16T00:00:00"/>
    <x v="39"/>
    <n v="8"/>
    <x v="1"/>
    <x v="0"/>
    <n v="0"/>
    <x v="39"/>
    <x v="2"/>
    <x v="0"/>
    <n v="134"/>
    <n v="156.78"/>
    <n v="1072"/>
    <x v="347"/>
    <x v="23"/>
    <x v="10"/>
    <x v="1"/>
  </r>
  <r>
    <d v="2022-11-18T00:00:00"/>
    <x v="13"/>
    <n v="8"/>
    <x v="2"/>
    <x v="1"/>
    <n v="0"/>
    <x v="13"/>
    <x v="4"/>
    <x v="2"/>
    <n v="55"/>
    <n v="58.3"/>
    <n v="440"/>
    <x v="348"/>
    <x v="7"/>
    <x v="10"/>
    <x v="1"/>
  </r>
  <r>
    <d v="2022-11-21T00:00:00"/>
    <x v="14"/>
    <n v="6"/>
    <x v="2"/>
    <x v="1"/>
    <n v="0"/>
    <x v="14"/>
    <x v="0"/>
    <x v="2"/>
    <n v="61"/>
    <n v="76.25"/>
    <n v="366"/>
    <x v="349"/>
    <x v="10"/>
    <x v="10"/>
    <x v="1"/>
  </r>
  <r>
    <d v="2022-11-23T00:00:00"/>
    <x v="43"/>
    <n v="12"/>
    <x v="1"/>
    <x v="0"/>
    <n v="0"/>
    <x v="43"/>
    <x v="4"/>
    <x v="1"/>
    <n v="90"/>
    <n v="96.3"/>
    <n v="1080"/>
    <x v="180"/>
    <x v="19"/>
    <x v="10"/>
    <x v="1"/>
  </r>
  <r>
    <d v="2022-11-25T00:00:00"/>
    <x v="3"/>
    <n v="5"/>
    <x v="2"/>
    <x v="1"/>
    <n v="0"/>
    <x v="3"/>
    <x v="3"/>
    <x v="2"/>
    <n v="44"/>
    <n v="48.84"/>
    <n v="220"/>
    <x v="3"/>
    <x v="11"/>
    <x v="10"/>
    <x v="1"/>
  </r>
  <r>
    <d v="2022-11-26T00:00:00"/>
    <x v="18"/>
    <n v="5"/>
    <x v="2"/>
    <x v="0"/>
    <n v="0"/>
    <x v="18"/>
    <x v="4"/>
    <x v="1"/>
    <n v="89"/>
    <n v="117.48"/>
    <n v="445"/>
    <x v="350"/>
    <x v="12"/>
    <x v="10"/>
    <x v="1"/>
  </r>
  <r>
    <d v="2022-11-27T00:00:00"/>
    <x v="13"/>
    <n v="15"/>
    <x v="2"/>
    <x v="0"/>
    <n v="0"/>
    <x v="13"/>
    <x v="4"/>
    <x v="2"/>
    <n v="55"/>
    <n v="58.3"/>
    <n v="825"/>
    <x v="351"/>
    <x v="13"/>
    <x v="10"/>
    <x v="1"/>
  </r>
  <r>
    <d v="2022-11-28T00:00:00"/>
    <x v="5"/>
    <n v="8"/>
    <x v="2"/>
    <x v="1"/>
    <n v="0"/>
    <x v="5"/>
    <x v="4"/>
    <x v="1"/>
    <n v="93"/>
    <n v="104.16"/>
    <n v="744"/>
    <x v="352"/>
    <x v="14"/>
    <x v="10"/>
    <x v="1"/>
  </r>
  <r>
    <d v="2022-11-30T00:00:00"/>
    <x v="27"/>
    <n v="2"/>
    <x v="2"/>
    <x v="0"/>
    <n v="0"/>
    <x v="27"/>
    <x v="2"/>
    <x v="3"/>
    <n v="12"/>
    <n v="15.719999999999999"/>
    <n v="24"/>
    <x v="128"/>
    <x v="24"/>
    <x v="10"/>
    <x v="1"/>
  </r>
  <r>
    <d v="2022-12-03T00:00:00"/>
    <x v="33"/>
    <n v="5"/>
    <x v="0"/>
    <x v="1"/>
    <n v="0"/>
    <x v="33"/>
    <x v="4"/>
    <x v="3"/>
    <n v="37"/>
    <n v="41.81"/>
    <n v="185"/>
    <x v="353"/>
    <x v="2"/>
    <x v="11"/>
    <x v="1"/>
  </r>
  <r>
    <d v="2022-12-04T00:00:00"/>
    <x v="42"/>
    <n v="10"/>
    <x v="2"/>
    <x v="1"/>
    <n v="0"/>
    <x v="42"/>
    <x v="4"/>
    <x v="3"/>
    <n v="18"/>
    <n v="24.66"/>
    <n v="180"/>
    <x v="217"/>
    <x v="3"/>
    <x v="11"/>
    <x v="1"/>
  </r>
  <r>
    <d v="2022-12-04T00:00:00"/>
    <x v="11"/>
    <n v="15"/>
    <x v="2"/>
    <x v="1"/>
    <n v="0"/>
    <x v="11"/>
    <x v="1"/>
    <x v="1"/>
    <n v="76"/>
    <n v="82.08"/>
    <n v="1140"/>
    <x v="138"/>
    <x v="3"/>
    <x v="11"/>
    <x v="1"/>
  </r>
  <r>
    <d v="2022-12-07T00:00:00"/>
    <x v="1"/>
    <n v="12"/>
    <x v="2"/>
    <x v="1"/>
    <n v="0"/>
    <x v="1"/>
    <x v="1"/>
    <x v="1"/>
    <n v="72"/>
    <n v="79.92"/>
    <n v="864"/>
    <x v="354"/>
    <x v="20"/>
    <x v="11"/>
    <x v="1"/>
  </r>
  <r>
    <d v="2022-12-07T00:00:00"/>
    <x v="21"/>
    <n v="13"/>
    <x v="2"/>
    <x v="0"/>
    <n v="0"/>
    <x v="21"/>
    <x v="2"/>
    <x v="3"/>
    <n v="13"/>
    <n v="16.64"/>
    <n v="169"/>
    <x v="31"/>
    <x v="20"/>
    <x v="11"/>
    <x v="1"/>
  </r>
  <r>
    <d v="2022-12-07T00:00:00"/>
    <x v="1"/>
    <n v="5"/>
    <x v="2"/>
    <x v="1"/>
    <n v="0"/>
    <x v="1"/>
    <x v="1"/>
    <x v="1"/>
    <n v="72"/>
    <n v="79.92"/>
    <n v="360"/>
    <x v="182"/>
    <x v="20"/>
    <x v="11"/>
    <x v="1"/>
  </r>
  <r>
    <d v="2022-12-11T00:00:00"/>
    <x v="26"/>
    <n v="5"/>
    <x v="2"/>
    <x v="0"/>
    <n v="0"/>
    <x v="26"/>
    <x v="4"/>
    <x v="2"/>
    <n v="48"/>
    <n v="57.120000000000005"/>
    <n v="240"/>
    <x v="259"/>
    <x v="5"/>
    <x v="11"/>
    <x v="1"/>
  </r>
  <r>
    <d v="2022-12-11T00:00:00"/>
    <x v="2"/>
    <n v="9"/>
    <x v="0"/>
    <x v="0"/>
    <n v="0"/>
    <x v="2"/>
    <x v="2"/>
    <x v="1"/>
    <n v="112"/>
    <n v="122.08"/>
    <n v="1008"/>
    <x v="355"/>
    <x v="5"/>
    <x v="11"/>
    <x v="1"/>
  </r>
  <r>
    <d v="2022-12-11T00:00:00"/>
    <x v="9"/>
    <n v="10"/>
    <x v="1"/>
    <x v="1"/>
    <n v="0"/>
    <x v="9"/>
    <x v="2"/>
    <x v="1"/>
    <n v="112"/>
    <n v="146.72"/>
    <n v="1120"/>
    <x v="356"/>
    <x v="5"/>
    <x v="11"/>
    <x v="1"/>
  </r>
  <r>
    <d v="2022-12-12T00:00:00"/>
    <x v="28"/>
    <n v="9"/>
    <x v="0"/>
    <x v="1"/>
    <n v="0"/>
    <x v="28"/>
    <x v="4"/>
    <x v="0"/>
    <n v="148"/>
    <n v="201.28"/>
    <n v="1332"/>
    <x v="357"/>
    <x v="6"/>
    <x v="11"/>
    <x v="1"/>
  </r>
  <r>
    <d v="2022-12-12T00:00:00"/>
    <x v="41"/>
    <n v="10"/>
    <x v="0"/>
    <x v="0"/>
    <n v="0"/>
    <x v="41"/>
    <x v="1"/>
    <x v="0"/>
    <n v="138"/>
    <n v="173.88"/>
    <n v="1380"/>
    <x v="285"/>
    <x v="6"/>
    <x v="11"/>
    <x v="1"/>
  </r>
  <r>
    <d v="2022-12-14T00:00:00"/>
    <x v="24"/>
    <n v="4"/>
    <x v="2"/>
    <x v="1"/>
    <n v="0"/>
    <x v="24"/>
    <x v="3"/>
    <x v="0"/>
    <n v="133"/>
    <n v="155.61000000000001"/>
    <n v="532"/>
    <x v="144"/>
    <x v="29"/>
    <x v="11"/>
    <x v="1"/>
  </r>
  <r>
    <d v="2022-12-15T00:00:00"/>
    <x v="37"/>
    <n v="13"/>
    <x v="2"/>
    <x v="0"/>
    <n v="0"/>
    <x v="37"/>
    <x v="3"/>
    <x v="3"/>
    <n v="6"/>
    <n v="7.8599999999999994"/>
    <n v="78"/>
    <x v="93"/>
    <x v="17"/>
    <x v="11"/>
    <x v="1"/>
  </r>
  <r>
    <d v="2022-12-19T00:00:00"/>
    <x v="11"/>
    <n v="7"/>
    <x v="2"/>
    <x v="0"/>
    <n v="0"/>
    <x v="11"/>
    <x v="1"/>
    <x v="1"/>
    <n v="76"/>
    <n v="82.08"/>
    <n v="532"/>
    <x v="358"/>
    <x v="8"/>
    <x v="11"/>
    <x v="1"/>
  </r>
  <r>
    <d v="2022-12-19T00:00:00"/>
    <x v="31"/>
    <n v="14"/>
    <x v="2"/>
    <x v="1"/>
    <n v="0"/>
    <x v="31"/>
    <x v="2"/>
    <x v="2"/>
    <n v="44"/>
    <n v="48.4"/>
    <n v="616"/>
    <x v="226"/>
    <x v="8"/>
    <x v="11"/>
    <x v="1"/>
  </r>
  <r>
    <d v="2022-12-19T00:00:00"/>
    <x v="37"/>
    <n v="11"/>
    <x v="1"/>
    <x v="0"/>
    <n v="0"/>
    <x v="37"/>
    <x v="3"/>
    <x v="3"/>
    <n v="6"/>
    <n v="7.8599999999999994"/>
    <n v="66"/>
    <x v="359"/>
    <x v="8"/>
    <x v="11"/>
    <x v="1"/>
  </r>
  <r>
    <d v="2022-12-21T00:00:00"/>
    <x v="15"/>
    <n v="10"/>
    <x v="2"/>
    <x v="0"/>
    <n v="0"/>
    <x v="15"/>
    <x v="3"/>
    <x v="1"/>
    <n v="75"/>
    <n v="85.5"/>
    <n v="750"/>
    <x v="360"/>
    <x v="10"/>
    <x v="11"/>
    <x v="1"/>
  </r>
  <r>
    <d v="2022-12-29T00:00:00"/>
    <x v="25"/>
    <n v="15"/>
    <x v="2"/>
    <x v="0"/>
    <n v="0"/>
    <x v="25"/>
    <x v="3"/>
    <x v="1"/>
    <n v="83"/>
    <n v="94.62"/>
    <n v="1245"/>
    <x v="94"/>
    <x v="28"/>
    <x v="11"/>
    <x v="1"/>
  </r>
  <r>
    <d v="2022-12-29T00:00:00"/>
    <x v="10"/>
    <n v="1"/>
    <x v="0"/>
    <x v="1"/>
    <n v="0"/>
    <x v="10"/>
    <x v="1"/>
    <x v="0"/>
    <n v="120"/>
    <n v="162"/>
    <n v="120"/>
    <x v="70"/>
    <x v="28"/>
    <x v="11"/>
    <x v="1"/>
  </r>
  <r>
    <d v="2022-12-30T00:00:00"/>
    <x v="41"/>
    <n v="14"/>
    <x v="2"/>
    <x v="0"/>
    <n v="0"/>
    <x v="41"/>
    <x v="1"/>
    <x v="0"/>
    <n v="138"/>
    <n v="173.88"/>
    <n v="1932"/>
    <x v="219"/>
    <x v="24"/>
    <x v="11"/>
    <x v="1"/>
  </r>
  <r>
    <d v="2022-12-31T00:00:00"/>
    <x v="38"/>
    <n v="12"/>
    <x v="1"/>
    <x v="0"/>
    <n v="0"/>
    <x v="38"/>
    <x v="4"/>
    <x v="1"/>
    <n v="95"/>
    <n v="119.7"/>
    <n v="1140"/>
    <x v="255"/>
    <x v="25"/>
    <x v="11"/>
    <x v="1"/>
  </r>
  <r>
    <d v="2022-12-31T00:00:00"/>
    <x v="31"/>
    <n v="6"/>
    <x v="1"/>
    <x v="0"/>
    <n v="0"/>
    <x v="31"/>
    <x v="2"/>
    <x v="2"/>
    <n v="44"/>
    <n v="48.4"/>
    <n v="264"/>
    <x v="361"/>
    <x v="25"/>
    <x v="11"/>
    <x v="1"/>
  </r>
  <r>
    <d v="2022-12-31T00:00:00"/>
    <x v="31"/>
    <n v="3"/>
    <x v="0"/>
    <x v="1"/>
    <n v="0"/>
    <x v="31"/>
    <x v="2"/>
    <x v="2"/>
    <n v="44"/>
    <n v="48.4"/>
    <n v="132"/>
    <x v="191"/>
    <x v="25"/>
    <x v="11"/>
    <x v="1"/>
  </r>
  <r>
    <d v="2023-01-01T00:00:00"/>
    <x v="31"/>
    <n v="7"/>
    <x v="0"/>
    <x v="1"/>
    <m/>
    <x v="31"/>
    <x v="2"/>
    <x v="2"/>
    <n v="44"/>
    <n v="48.4"/>
    <n v="308"/>
    <x v="188"/>
    <x v="3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2D9C7-5CB7-44E7-932D-20888CDE31E0}" name="SaleType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4">
  <location ref="AM1:AN4" firstHeaderRow="1" firstDataRow="1" firstDataCol="1"/>
  <pivotFields count="16"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numFmtId="165" showAll="0"/>
    <pivotField numFmtId="165" showAll="0"/>
    <pivotField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TOTAL SELLING VALUE" fld="12" baseField="0" baseItem="0" numFmtId="165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814C9-FB57-48F6-869E-7AD0A087A5C5}" name="Total Sal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" firstHeaderRow="0" firstDataRow="1" firstDataCol="0"/>
  <pivotFields count="16"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BUYING VALUE" fld="11" baseField="0" baseItem="0" numFmtId="165"/>
    <dataField name="Sum of TOTAL SELLING VAL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EED92-8F88-4309-84EA-FB61F3D59608}" name="CategoryWise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F1:AG6" firstHeaderRow="1" firstDataRow="1" firstDataCol="1"/>
  <pivotFields count="16"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numFmtId="165" showAll="0"/>
    <pivotField numFmtId="165" showAll="0"/>
    <pivotField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ELLING VAL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D727D-EAF3-487C-A97A-158736133E5C}" name="Daily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A1:B33" firstHeaderRow="1" firstDataRow="1" firstDataCol="1"/>
  <pivotFields count="16"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axis="axisRow"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rowItems>
  <colItems count="1">
    <i/>
  </colItems>
  <dataFields count="1">
    <dataField name="Sum of TOTAL SELLING VAL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4E87D-E862-4FF2-B8F3-80ACF6ED763A}" name="PaymentMode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AP1:AQ3" firstHeaderRow="1" firstDataRow="1" firstDataCol="1"/>
  <pivotFields count="16"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numFmtId="165" showAll="0"/>
    <pivotField numFmtId="165" showAll="0"/>
    <pivotField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Sum of TOTAL SELLING VAL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EA98F-CED4-4E70-AC01-32DC66635F10}" name="Monthly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G1:I13" firstHeaderRow="0" firstDataRow="1" firstDataCol="1"/>
  <pivotFields count="16">
    <pivotField numFmtId="14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5" showAll="0"/>
    <pivotField dataField="1" numFmtId="165" showAll="0"/>
    <pivotField dataField="1" numFmtId="165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</pivotField>
    <pivotField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TOTAL BUYING VALUE" fld="11" baseField="0" baseItem="0" numFmtId="165"/>
    <dataField name="Sum of TOTAL SELLING VALUE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C53A7-73CF-4BBC-A014-6DF0272506D0}" name="ProductWise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P2:S46" firstHeaderRow="0" firstDataRow="1" firstDataCol="2"/>
  <pivotFields count="16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5">
        <item sd="0" x="16"/>
        <item x="29"/>
        <item x="6"/>
        <item x="3"/>
        <item x="24"/>
        <item x="15"/>
        <item x="36"/>
        <item x="25"/>
        <item x="37"/>
        <item x="20"/>
        <item x="31"/>
        <item x="35"/>
        <item x="2"/>
        <item x="9"/>
        <item x="27"/>
        <item x="21"/>
        <item x="39"/>
        <item x="30"/>
        <item x="40"/>
        <item x="14"/>
        <item x="32"/>
        <item x="22"/>
        <item x="12"/>
        <item x="0"/>
        <item x="7"/>
        <item x="42"/>
        <item x="26"/>
        <item x="33"/>
        <item x="19"/>
        <item x="28"/>
        <item x="5"/>
        <item x="18"/>
        <item x="38"/>
        <item x="13"/>
        <item x="4"/>
        <item x="43"/>
        <item x="8"/>
        <item x="1"/>
        <item x="34"/>
        <item x="17"/>
        <item x="41"/>
        <item x="10"/>
        <item x="23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6"/>
        <item x="29"/>
        <item x="6"/>
        <item x="3"/>
        <item x="24"/>
        <item x="15"/>
        <item x="36"/>
        <item x="25"/>
        <item x="37"/>
        <item x="20"/>
        <item x="31"/>
        <item x="35"/>
        <item x="2"/>
        <item x="9"/>
        <item x="27"/>
        <item x="21"/>
        <item x="39"/>
        <item x="30"/>
        <item x="40"/>
        <item x="14"/>
        <item x="32"/>
        <item x="22"/>
        <item x="12"/>
        <item x="0"/>
        <item x="7"/>
        <item x="42"/>
        <item x="26"/>
        <item x="33"/>
        <item x="19"/>
        <item x="28"/>
        <item x="5"/>
        <item x="18"/>
        <item x="38"/>
        <item x="13"/>
        <item x="4"/>
        <item x="43"/>
        <item x="8"/>
        <item x="1"/>
        <item x="34"/>
        <item x="17"/>
        <item x="41"/>
        <item x="10"/>
        <item x="23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items count="363">
        <item x="37"/>
        <item x="190"/>
        <item x="119"/>
        <item x="307"/>
        <item x="45"/>
        <item x="128"/>
        <item x="256"/>
        <item x="7"/>
        <item x="339"/>
        <item x="14"/>
        <item x="318"/>
        <item x="21"/>
        <item x="95"/>
        <item x="51"/>
        <item x="96"/>
        <item x="166"/>
        <item x="99"/>
        <item x="149"/>
        <item x="89"/>
        <item x="122"/>
        <item x="275"/>
        <item x="174"/>
        <item x="298"/>
        <item x="274"/>
        <item x="120"/>
        <item x="108"/>
        <item x="77"/>
        <item x="156"/>
        <item x="135"/>
        <item x="74"/>
        <item x="4"/>
        <item x="253"/>
        <item x="114"/>
        <item x="284"/>
        <item x="203"/>
        <item x="143"/>
        <item x="359"/>
        <item x="55"/>
        <item x="183"/>
        <item x="42"/>
        <item x="193"/>
        <item x="252"/>
        <item x="265"/>
        <item x="97"/>
        <item x="100"/>
        <item x="93"/>
        <item x="5"/>
        <item x="29"/>
        <item x="117"/>
        <item x="310"/>
        <item x="268"/>
        <item x="207"/>
        <item x="162"/>
        <item x="223"/>
        <item x="325"/>
        <item x="244"/>
        <item x="299"/>
        <item x="222"/>
        <item x="319"/>
        <item x="312"/>
        <item x="191"/>
        <item x="241"/>
        <item x="202"/>
        <item x="90"/>
        <item x="181"/>
        <item x="308"/>
        <item x="35"/>
        <item x="157"/>
        <item x="335"/>
        <item x="215"/>
        <item x="68"/>
        <item x="212"/>
        <item x="70"/>
        <item x="304"/>
        <item x="209"/>
        <item x="206"/>
        <item x="153"/>
        <item x="261"/>
        <item x="91"/>
        <item x="234"/>
        <item x="116"/>
        <item x="243"/>
        <item x="92"/>
        <item x="155"/>
        <item x="353"/>
        <item x="129"/>
        <item x="81"/>
        <item x="316"/>
        <item x="31"/>
        <item x="41"/>
        <item x="171"/>
        <item x="264"/>
        <item x="15"/>
        <item x="224"/>
        <item x="338"/>
        <item x="329"/>
        <item x="331"/>
        <item x="148"/>
        <item x="3"/>
        <item x="217"/>
        <item x="247"/>
        <item x="8"/>
        <item x="32"/>
        <item x="259"/>
        <item x="336"/>
        <item x="361"/>
        <item x="160"/>
        <item x="192"/>
        <item x="239"/>
        <item x="62"/>
        <item x="16"/>
        <item x="46"/>
        <item x="54"/>
        <item x="321"/>
        <item x="251"/>
        <item x="101"/>
        <item x="124"/>
        <item x="163"/>
        <item x="311"/>
        <item x="297"/>
        <item x="98"/>
        <item x="188"/>
        <item x="66"/>
        <item x="53"/>
        <item x="33"/>
        <item x="294"/>
        <item x="266"/>
        <item x="300"/>
        <item x="20"/>
        <item x="27"/>
        <item x="289"/>
        <item x="60"/>
        <item x="64"/>
        <item x="280"/>
        <item x="73"/>
        <item x="328"/>
        <item x="293"/>
        <item x="182"/>
        <item x="49"/>
        <item x="273"/>
        <item x="133"/>
        <item x="69"/>
        <item x="56"/>
        <item x="257"/>
        <item x="67"/>
        <item x="176"/>
        <item x="260"/>
        <item x="267"/>
        <item x="13"/>
        <item x="185"/>
        <item x="349"/>
        <item x="110"/>
        <item x="76"/>
        <item x="348"/>
        <item x="79"/>
        <item x="57"/>
        <item x="84"/>
        <item x="278"/>
        <item x="286"/>
        <item x="216"/>
        <item x="75"/>
        <item x="271"/>
        <item x="28"/>
        <item x="254"/>
        <item x="200"/>
        <item x="317"/>
        <item x="301"/>
        <item x="262"/>
        <item x="146"/>
        <item x="82"/>
        <item x="270"/>
        <item x="170"/>
        <item x="111"/>
        <item x="50"/>
        <item x="152"/>
        <item x="290"/>
        <item x="246"/>
        <item x="47"/>
        <item x="358"/>
        <item x="34"/>
        <item x="142"/>
        <item x="287"/>
        <item x="9"/>
        <item x="350"/>
        <item x="172"/>
        <item x="147"/>
        <item x="24"/>
        <item x="72"/>
        <item x="105"/>
        <item x="44"/>
        <item x="144"/>
        <item x="167"/>
        <item x="121"/>
        <item x="205"/>
        <item x="282"/>
        <item x="6"/>
        <item x="10"/>
        <item x="248"/>
        <item x="39"/>
        <item x="136"/>
        <item x="226"/>
        <item x="137"/>
        <item x="324"/>
        <item x="141"/>
        <item x="231"/>
        <item x="198"/>
        <item x="109"/>
        <item x="86"/>
        <item x="184"/>
        <item x="25"/>
        <item x="18"/>
        <item x="2"/>
        <item x="17"/>
        <item x="85"/>
        <item x="23"/>
        <item x="220"/>
        <item x="36"/>
        <item x="204"/>
        <item x="330"/>
        <item x="272"/>
        <item x="218"/>
        <item x="315"/>
        <item x="134"/>
        <item x="131"/>
        <item x="26"/>
        <item x="306"/>
        <item x="38"/>
        <item x="145"/>
        <item x="352"/>
        <item x="340"/>
        <item x="229"/>
        <item x="360"/>
        <item x="240"/>
        <item x="118"/>
        <item x="351"/>
        <item x="132"/>
        <item x="235"/>
        <item x="314"/>
        <item x="106"/>
        <item x="165"/>
        <item x="151"/>
        <item x="327"/>
        <item x="333"/>
        <item x="322"/>
        <item x="354"/>
        <item x="197"/>
        <item x="19"/>
        <item x="195"/>
        <item x="210"/>
        <item x="332"/>
        <item x="276"/>
        <item x="61"/>
        <item x="295"/>
        <item x="283"/>
        <item x="230"/>
        <item x="323"/>
        <item x="201"/>
        <item x="113"/>
        <item x="115"/>
        <item x="305"/>
        <item x="258"/>
        <item x="345"/>
        <item x="12"/>
        <item x="288"/>
        <item x="126"/>
        <item x="342"/>
        <item x="355"/>
        <item x="194"/>
        <item x="326"/>
        <item x="213"/>
        <item x="158"/>
        <item x="173"/>
        <item x="63"/>
        <item x="139"/>
        <item x="150"/>
        <item x="211"/>
        <item x="30"/>
        <item x="292"/>
        <item x="180"/>
        <item x="238"/>
        <item x="130"/>
        <item x="303"/>
        <item x="1"/>
        <item x="164"/>
        <item x="168"/>
        <item x="138"/>
        <item x="347"/>
        <item x="225"/>
        <item x="102"/>
        <item x="263"/>
        <item x="250"/>
        <item x="48"/>
        <item x="59"/>
        <item x="58"/>
        <item x="175"/>
        <item x="279"/>
        <item x="40"/>
        <item x="186"/>
        <item x="281"/>
        <item x="199"/>
        <item x="159"/>
        <item x="237"/>
        <item x="88"/>
        <item x="112"/>
        <item x="337"/>
        <item x="0"/>
        <item x="227"/>
        <item x="94"/>
        <item x="255"/>
        <item x="22"/>
        <item x="52"/>
        <item x="196"/>
        <item x="356"/>
        <item x="71"/>
        <item x="344"/>
        <item x="83"/>
        <item x="78"/>
        <item x="236"/>
        <item x="154"/>
        <item x="228"/>
        <item x="11"/>
        <item x="104"/>
        <item x="242"/>
        <item x="313"/>
        <item x="208"/>
        <item x="123"/>
        <item x="285"/>
        <item x="309"/>
        <item x="214"/>
        <item x="296"/>
        <item x="125"/>
        <item x="357"/>
        <item x="140"/>
        <item x="245"/>
        <item x="320"/>
        <item x="277"/>
        <item x="179"/>
        <item x="103"/>
        <item x="302"/>
        <item x="80"/>
        <item x="189"/>
        <item x="269"/>
        <item x="346"/>
        <item x="343"/>
        <item x="187"/>
        <item x="107"/>
        <item x="221"/>
        <item x="334"/>
        <item x="233"/>
        <item x="65"/>
        <item x="178"/>
        <item x="43"/>
        <item x="161"/>
        <item x="169"/>
        <item x="249"/>
        <item x="291"/>
        <item x="219"/>
        <item x="127"/>
        <item x="87"/>
        <item x="177"/>
        <item x="232"/>
        <item x="3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3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3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44">
    <i>
      <x/>
      <x v="1"/>
    </i>
    <i>
      <x v="1"/>
      <x v="1"/>
    </i>
    <i>
      <x v="2"/>
      <x v="1"/>
    </i>
    <i>
      <x v="3"/>
      <x v="2"/>
    </i>
    <i>
      <x v="4"/>
      <x/>
    </i>
    <i>
      <x v="5"/>
      <x v="1"/>
    </i>
    <i>
      <x v="6"/>
      <x v="2"/>
    </i>
    <i>
      <x v="7"/>
      <x v="1"/>
    </i>
    <i>
      <x v="8"/>
      <x v="3"/>
    </i>
    <i>
      <x v="9"/>
      <x/>
    </i>
    <i>
      <x v="10"/>
      <x v="2"/>
    </i>
    <i>
      <x v="11"/>
      <x v="1"/>
    </i>
    <i>
      <x v="12"/>
      <x v="1"/>
    </i>
    <i>
      <x v="13"/>
      <x v="1"/>
    </i>
    <i>
      <x v="14"/>
      <x v="3"/>
    </i>
    <i>
      <x v="15"/>
      <x v="3"/>
    </i>
    <i>
      <x v="16"/>
      <x/>
    </i>
    <i>
      <x v="17"/>
      <x v="3"/>
    </i>
    <i>
      <x v="18"/>
      <x/>
    </i>
    <i>
      <x v="19"/>
      <x v="2"/>
    </i>
    <i>
      <x v="20"/>
      <x/>
    </i>
    <i>
      <x v="21"/>
      <x/>
    </i>
    <i>
      <x v="22"/>
      <x/>
    </i>
    <i>
      <x v="23"/>
      <x/>
    </i>
    <i>
      <x v="24"/>
      <x v="3"/>
    </i>
    <i>
      <x v="25"/>
      <x v="3"/>
    </i>
    <i>
      <x v="26"/>
      <x v="2"/>
    </i>
    <i>
      <x v="27"/>
      <x v="3"/>
    </i>
    <i>
      <x v="28"/>
      <x v="2"/>
    </i>
    <i>
      <x v="29"/>
      <x/>
    </i>
    <i>
      <x v="30"/>
      <x v="1"/>
    </i>
    <i>
      <x v="31"/>
      <x v="1"/>
    </i>
    <i>
      <x v="32"/>
      <x v="1"/>
    </i>
    <i>
      <x v="33"/>
      <x v="2"/>
    </i>
    <i>
      <x v="34"/>
      <x v="3"/>
    </i>
    <i>
      <x v="35"/>
      <x v="1"/>
    </i>
    <i>
      <x v="36"/>
      <x v="1"/>
    </i>
    <i>
      <x v="37"/>
      <x v="1"/>
    </i>
    <i>
      <x v="38"/>
      <x v="3"/>
    </i>
    <i>
      <x v="39"/>
      <x v="1"/>
    </i>
    <i>
      <x v="40"/>
      <x/>
    </i>
    <i>
      <x v="41"/>
      <x/>
    </i>
    <i>
      <x v="42"/>
      <x v="1"/>
    </i>
    <i>
      <x v="43"/>
      <x v="1"/>
    </i>
  </rowItems>
  <colFields count="1">
    <field x="-2"/>
  </colFields>
  <colItems count="2">
    <i>
      <x/>
    </i>
    <i i="1">
      <x v="1"/>
    </i>
  </colItems>
  <dataFields count="2">
    <dataField name="Sum of TOTAL SELLING VALUE" fld="12" baseField="0" baseItem="0" numFmtId="165"/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ctrlProp" Target="../ctrlProps/ctrlProp1.xml"/><Relationship Id="rId4" Type="http://schemas.openxmlformats.org/officeDocument/2006/relationships/pivotTable" Target="../pivotTables/pivotTable4.xm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F2E6-C57C-4DDE-8657-E4606EBA8A8F}">
  <sheetPr codeName="Sheet1"/>
  <dimension ref="A1:AQ46"/>
  <sheetViews>
    <sheetView tabSelected="1" zoomScale="40" zoomScaleNormal="40" workbookViewId="0">
      <selection activeCell="Y6" sqref="Y6"/>
    </sheetView>
  </sheetViews>
  <sheetFormatPr defaultRowHeight="15" x14ac:dyDescent="0.25"/>
  <cols>
    <col min="1" max="1" width="22.28515625" bestFit="1" customWidth="1"/>
    <col min="2" max="2" width="43" bestFit="1" customWidth="1"/>
    <col min="3" max="3" width="5.5703125" bestFit="1" customWidth="1"/>
    <col min="4" max="4" width="42" bestFit="1" customWidth="1"/>
    <col min="5" max="5" width="43" bestFit="1" customWidth="1"/>
    <col min="6" max="6" width="6.5703125" bestFit="1" customWidth="1"/>
    <col min="7" max="7" width="22.28515625" bestFit="1" customWidth="1"/>
    <col min="8" max="8" width="42" bestFit="1" customWidth="1"/>
    <col min="9" max="9" width="43" bestFit="1" customWidth="1"/>
    <col min="10" max="10" width="9" customWidth="1"/>
    <col min="11" max="11" width="7.85546875" customWidth="1"/>
    <col min="12" max="12" width="12.5703125" bestFit="1" customWidth="1"/>
    <col min="13" max="13" width="11.28515625" bestFit="1" customWidth="1"/>
    <col min="14" max="14" width="7.85546875" customWidth="1"/>
    <col min="15" max="15" width="6.5703125" bestFit="1" customWidth="1"/>
    <col min="16" max="16" width="13.140625" bestFit="1" customWidth="1"/>
    <col min="17" max="17" width="13.7109375" bestFit="1" customWidth="1"/>
    <col min="18" max="18" width="43" bestFit="1" customWidth="1"/>
    <col min="19" max="19" width="25.85546875" bestFit="1" customWidth="1"/>
    <col min="20" max="20" width="17" customWidth="1"/>
    <col min="21" max="21" width="9.140625" customWidth="1"/>
    <col min="22" max="22" width="11.85546875" bestFit="1" customWidth="1"/>
    <col min="23" max="23" width="17" customWidth="1"/>
    <col min="24" max="24" width="17" style="6" customWidth="1"/>
    <col min="25" max="25" width="17" customWidth="1"/>
    <col min="26" max="26" width="8.28515625" customWidth="1"/>
    <col min="27" max="30" width="17" customWidth="1"/>
    <col min="31" max="31" width="6.5703125" bestFit="1" customWidth="1"/>
    <col min="32" max="32" width="22.28515625" bestFit="1" customWidth="1"/>
    <col min="33" max="33" width="43" bestFit="1" customWidth="1"/>
    <col min="34" max="34" width="14.85546875" customWidth="1"/>
    <col min="35" max="35" width="13.7109375" customWidth="1"/>
    <col min="36" max="36" width="10.85546875" bestFit="1" customWidth="1"/>
    <col min="37" max="37" width="10.140625" bestFit="1" customWidth="1"/>
    <col min="38" max="38" width="27.5703125" bestFit="1" customWidth="1"/>
    <col min="39" max="39" width="22.28515625" bestFit="1" customWidth="1"/>
    <col min="40" max="40" width="43" bestFit="1" customWidth="1"/>
    <col min="41" max="41" width="6.5703125" bestFit="1" customWidth="1"/>
    <col min="42" max="42" width="22.28515625" bestFit="1" customWidth="1"/>
    <col min="43" max="43" width="43" bestFit="1" customWidth="1"/>
    <col min="44" max="66" width="6.5703125" bestFit="1" customWidth="1"/>
    <col min="67" max="276" width="7.5703125" bestFit="1" customWidth="1"/>
    <col min="385" max="385" width="11.28515625" bestFit="1" customWidth="1"/>
  </cols>
  <sheetData>
    <row r="1" spans="1:43" x14ac:dyDescent="0.25">
      <c r="A1" s="2" t="s">
        <v>59</v>
      </c>
      <c r="B1" t="s">
        <v>60</v>
      </c>
      <c r="D1" t="s">
        <v>61</v>
      </c>
      <c r="E1" t="s">
        <v>60</v>
      </c>
      <c r="G1" s="2" t="s">
        <v>59</v>
      </c>
      <c r="H1" t="s">
        <v>61</v>
      </c>
      <c r="I1" t="s">
        <v>60</v>
      </c>
      <c r="L1" t="b">
        <v>1</v>
      </c>
      <c r="M1" t="b">
        <v>1</v>
      </c>
      <c r="N1" t="b">
        <v>1</v>
      </c>
      <c r="V1" t="str">
        <f ca="1">VLOOKUP(1,U:Y,2,0)</f>
        <v>Product41</v>
      </c>
      <c r="W1" t="str">
        <f ca="1">VLOOKUP(1,U:Y,3,0)</f>
        <v>Ft</v>
      </c>
      <c r="X1" s="6">
        <f ca="1">VLOOKUP(1,U:Y,4,0)</f>
        <v>22952.16</v>
      </c>
      <c r="Y1">
        <f ca="1">VLOOKUP(1,U:Y,5,0)</f>
        <v>132</v>
      </c>
      <c r="AA1">
        <v>21</v>
      </c>
      <c r="AB1">
        <f>COUNT($S:$S)-9</f>
        <v>35</v>
      </c>
      <c r="AC1">
        <f>MIN(AA1:AB1)</f>
        <v>21</v>
      </c>
      <c r="AF1" s="2" t="s">
        <v>59</v>
      </c>
      <c r="AG1" t="s">
        <v>60</v>
      </c>
      <c r="AJ1" t="str">
        <f ca="1">VLOOKUP(1,$AI:$AK,2,0)</f>
        <v>Category04</v>
      </c>
      <c r="AK1" s="4">
        <f ca="1">VLOOKUP(1,$AI:$AK,3,0)</f>
        <v>95269.4</v>
      </c>
      <c r="AM1" s="2" t="s">
        <v>59</v>
      </c>
      <c r="AN1" t="s">
        <v>60</v>
      </c>
      <c r="AP1" s="2" t="s">
        <v>59</v>
      </c>
      <c r="AQ1" t="s">
        <v>60</v>
      </c>
    </row>
    <row r="2" spans="1:43" x14ac:dyDescent="0.25">
      <c r="A2" s="3">
        <v>1</v>
      </c>
      <c r="B2" s="1">
        <v>13167.810000000001</v>
      </c>
      <c r="D2" s="1">
        <v>332812</v>
      </c>
      <c r="E2" s="1">
        <v>401750.71999999968</v>
      </c>
      <c r="G2" s="3" t="s">
        <v>62</v>
      </c>
      <c r="H2" s="1">
        <v>34598</v>
      </c>
      <c r="I2" s="1">
        <v>41685.759999999995</v>
      </c>
      <c r="J2" s="1"/>
      <c r="K2" s="1" t="s">
        <v>78</v>
      </c>
      <c r="L2" t="s">
        <v>79</v>
      </c>
      <c r="M2" t="s">
        <v>80</v>
      </c>
      <c r="N2" s="1" t="s">
        <v>77</v>
      </c>
      <c r="P2" s="2" t="s">
        <v>0</v>
      </c>
      <c r="Q2" s="2" t="s">
        <v>1</v>
      </c>
      <c r="R2" t="s">
        <v>60</v>
      </c>
      <c r="S2" t="s">
        <v>74</v>
      </c>
      <c r="AF2" s="3" t="s">
        <v>3</v>
      </c>
      <c r="AG2" s="1">
        <v>69261.950000000012</v>
      </c>
      <c r="AH2" s="1"/>
      <c r="AI2" s="1"/>
      <c r="AK2" s="4"/>
      <c r="AM2" s="3" t="s">
        <v>55</v>
      </c>
      <c r="AN2" s="1">
        <v>208140.15000000005</v>
      </c>
      <c r="AP2" s="3" t="s">
        <v>54</v>
      </c>
      <c r="AQ2" s="1">
        <v>199855.70000000007</v>
      </c>
    </row>
    <row r="3" spans="1:43" x14ac:dyDescent="0.25">
      <c r="A3" s="3">
        <v>2</v>
      </c>
      <c r="B3" s="1">
        <v>13210.220000000001</v>
      </c>
      <c r="G3" s="3" t="s">
        <v>63</v>
      </c>
      <c r="H3" s="1">
        <v>25341</v>
      </c>
      <c r="I3" s="1">
        <v>30857.300000000003</v>
      </c>
      <c r="J3" s="1"/>
      <c r="K3" s="3" t="s">
        <v>62</v>
      </c>
      <c r="L3" s="1">
        <f>IF($L$1=TRUE,VLOOKUP(K3,G1:I13,3,0),NA())</f>
        <v>41685.759999999995</v>
      </c>
      <c r="M3" s="1">
        <f>IF($M$1=TRUE,VLOOKUP(K3,G1:I13,3,0)-VLOOKUP(K3,G1:I13,2,0),NA())</f>
        <v>7087.7599999999948</v>
      </c>
      <c r="N3" s="5">
        <f>IF($N$1=TRUE,(M3/VLOOKUP(K3,G1:I13,2,0)),"")</f>
        <v>0.204860396554714</v>
      </c>
      <c r="P3" t="s">
        <v>2</v>
      </c>
      <c r="Q3" t="s">
        <v>4</v>
      </c>
      <c r="R3" s="1">
        <v>9764.7199999999993</v>
      </c>
      <c r="S3" s="8">
        <v>94</v>
      </c>
      <c r="U3" cm="1">
        <f t="array" aca="1" ref="U3:U46" ca="1">RANK(_xlfn.ANCHORARRAY(X3),_xlfn.ANCHORARRAY(X3))</f>
        <v>19</v>
      </c>
      <c r="V3" t="str" cm="1">
        <f t="array" aca="1" ref="V3:V46" ca="1">OFFSET($P$2,1,0,COUNT($S:$S))</f>
        <v>Product01</v>
      </c>
      <c r="W3" t="str" cm="1">
        <f t="array" aca="1" ref="W3:W46" ca="1">OFFSET($P$2,1,1,COUNT($S:$S))</f>
        <v>Kg</v>
      </c>
      <c r="X3" s="6" cm="1">
        <f t="array" aca="1" ref="X3:X46" ca="1">OFFSET($P$2,1,2,COUNT($S:$S))</f>
        <v>9764.7199999999993</v>
      </c>
      <c r="Y3" cm="1">
        <f t="array" aca="1" ref="Y3:Y46" ca="1">OFFSET($P$2,1,3,COUNT($S:$S))</f>
        <v>94</v>
      </c>
      <c r="AA3" t="str" cm="1">
        <f t="array" aca="1" ref="AA3:AA12" ca="1">OFFSET($P$2,$AC$1,0,10)</f>
        <v>Product21</v>
      </c>
      <c r="AB3" s="1" cm="1">
        <f t="array" aca="1" ref="AB3:AB12" ca="1">OFFSET($P$2,$AC$1,2,10)</f>
        <v>10727.64</v>
      </c>
      <c r="AC3" s="1"/>
      <c r="AD3" s="1"/>
      <c r="AF3" s="3" t="s">
        <v>14</v>
      </c>
      <c r="AG3" s="1">
        <v>93302.67</v>
      </c>
      <c r="AH3" s="1"/>
      <c r="AI3" cm="1">
        <f t="array" aca="1" ref="AI3:AI7" ca="1">RANK(_xlfn.ANCHORARRAY(AK3),_xlfn.ANCHORARRAY(AK3))</f>
        <v>4</v>
      </c>
      <c r="AJ3" s="1" t="str" cm="1">
        <f t="array" aca="1" ref="AJ3:AJ7" ca="1">OFFSET($AF$1,1,0,COUNT($AG:$AG))</f>
        <v>Category01</v>
      </c>
      <c r="AK3" s="4" cm="1">
        <f t="array" aca="1" ref="AK3:AK7" ca="1">OFFSET($AF$1,1,1,COUNT($AG:$AG))</f>
        <v>69261.950000000012</v>
      </c>
      <c r="AM3" s="3" t="s">
        <v>53</v>
      </c>
      <c r="AN3" s="1">
        <v>133923.87000000002</v>
      </c>
      <c r="AP3" s="3" t="s">
        <v>53</v>
      </c>
      <c r="AQ3" s="1">
        <v>201895.01999999993</v>
      </c>
    </row>
    <row r="4" spans="1:43" x14ac:dyDescent="0.25">
      <c r="A4" s="3">
        <v>3</v>
      </c>
      <c r="B4" s="1">
        <v>20202.099999999995</v>
      </c>
      <c r="D4" t="s">
        <v>75</v>
      </c>
      <c r="E4" s="4">
        <f>(GETPIVOTDATA("Sum of TOTAL SELLING VALUE",$D$1))</f>
        <v>401750.71999999968</v>
      </c>
      <c r="G4" s="3" t="s">
        <v>64</v>
      </c>
      <c r="H4" s="1">
        <v>23437</v>
      </c>
      <c r="I4" s="1">
        <v>28616.65</v>
      </c>
      <c r="J4" s="1"/>
      <c r="K4" s="3" t="s">
        <v>63</v>
      </c>
      <c r="L4" s="1">
        <f t="shared" ref="L4:L14" si="0">IF($L$1=TRUE,VLOOKUP(K4,G2:I14,3,0),NA())</f>
        <v>30857.300000000003</v>
      </c>
      <c r="M4" s="1">
        <f t="shared" ref="M4:M14" si="1">IF($M$1=TRUE,VLOOKUP(K4,G2:I14,3,0)-VLOOKUP(K4,G2:I14,2,0),NA())</f>
        <v>5516.3000000000029</v>
      </c>
      <c r="N4" s="5">
        <f t="shared" ref="N4:N14" si="2">IF($N$1=TRUE,(M4/VLOOKUP(K4,G2:I14,2,0)),"")</f>
        <v>0.21768280651907987</v>
      </c>
      <c r="P4" t="s">
        <v>5</v>
      </c>
      <c r="Q4" t="s">
        <v>4</v>
      </c>
      <c r="R4" s="1">
        <v>13423.199999999999</v>
      </c>
      <c r="S4" s="8">
        <v>94</v>
      </c>
      <c r="U4">
        <f ca="1"/>
        <v>10</v>
      </c>
      <c r="V4" t="str">
        <f ca="1"/>
        <v>Product02</v>
      </c>
      <c r="W4" t="str">
        <f ca="1"/>
        <v>Kg</v>
      </c>
      <c r="X4" s="6">
        <f ca="1"/>
        <v>13423.199999999999</v>
      </c>
      <c r="Y4">
        <f ca="1"/>
        <v>94</v>
      </c>
      <c r="AA4" t="str">
        <f ca="1"/>
        <v>Product22</v>
      </c>
      <c r="AB4" s="1">
        <f ca="1"/>
        <v>9909.9</v>
      </c>
      <c r="AC4" s="1"/>
      <c r="AD4" s="1"/>
      <c r="AF4" s="3" t="s">
        <v>25</v>
      </c>
      <c r="AG4" s="1">
        <v>52299.509999999995</v>
      </c>
      <c r="AH4" s="1"/>
      <c r="AI4">
        <f ca="1"/>
        <v>2</v>
      </c>
      <c r="AJ4" s="1" t="str">
        <f ca="1"/>
        <v>Category02</v>
      </c>
      <c r="AK4" s="4">
        <f ca="1"/>
        <v>93302.67</v>
      </c>
      <c r="AM4" s="3" t="s">
        <v>52</v>
      </c>
      <c r="AN4" s="1">
        <v>59686.700000000012</v>
      </c>
    </row>
    <row r="5" spans="1:43" x14ac:dyDescent="0.25">
      <c r="A5" s="3">
        <v>4</v>
      </c>
      <c r="B5" s="1">
        <v>11312.2</v>
      </c>
      <c r="D5" t="s">
        <v>76</v>
      </c>
      <c r="E5" s="4">
        <f>(GETPIVOTDATA("Sum of TOTAL SELLING VALUE",$D$1)-GETPIVOTDATA("Sum of TOTAL BUYING VALUE",$D$1))</f>
        <v>68938.719999999681</v>
      </c>
      <c r="G5" s="3" t="s">
        <v>65</v>
      </c>
      <c r="H5" s="1">
        <v>21282</v>
      </c>
      <c r="I5" s="1">
        <v>26579.11</v>
      </c>
      <c r="J5" s="1"/>
      <c r="K5" s="3" t="s">
        <v>64</v>
      </c>
      <c r="L5" s="1">
        <f t="shared" si="0"/>
        <v>28616.65</v>
      </c>
      <c r="M5" s="1">
        <f t="shared" si="1"/>
        <v>5179.6500000000015</v>
      </c>
      <c r="N5" s="5">
        <f t="shared" si="2"/>
        <v>0.22100311473311438</v>
      </c>
      <c r="P5" t="s">
        <v>6</v>
      </c>
      <c r="Q5" t="s">
        <v>4</v>
      </c>
      <c r="R5" s="1">
        <v>6394.2599999999993</v>
      </c>
      <c r="S5" s="8">
        <v>79</v>
      </c>
      <c r="U5">
        <f ca="1"/>
        <v>26</v>
      </c>
      <c r="V5" t="str">
        <f ca="1"/>
        <v>Product03</v>
      </c>
      <c r="W5" t="str">
        <f ca="1"/>
        <v>Kg</v>
      </c>
      <c r="X5" s="6">
        <f ca="1"/>
        <v>6394.2599999999993</v>
      </c>
      <c r="Y5">
        <f ca="1"/>
        <v>79</v>
      </c>
      <c r="AA5" t="str">
        <f ca="1"/>
        <v>Product23</v>
      </c>
      <c r="AB5" s="1">
        <f ca="1"/>
        <v>12853.560000000001</v>
      </c>
      <c r="AC5" s="1"/>
      <c r="AD5" s="1"/>
      <c r="AF5" s="3" t="s">
        <v>32</v>
      </c>
      <c r="AG5" s="1">
        <v>95269.4</v>
      </c>
      <c r="AH5" s="1"/>
      <c r="AI5">
        <f ca="1"/>
        <v>5</v>
      </c>
      <c r="AJ5" s="1" t="str">
        <f ca="1"/>
        <v>Category03</v>
      </c>
      <c r="AK5" s="4">
        <f ca="1"/>
        <v>52299.509999999995</v>
      </c>
    </row>
    <row r="6" spans="1:43" x14ac:dyDescent="0.25">
      <c r="A6" s="3">
        <v>5</v>
      </c>
      <c r="B6" s="1">
        <v>11711.449999999999</v>
      </c>
      <c r="D6" t="s">
        <v>77</v>
      </c>
      <c r="E6" s="5">
        <f>(E5/GETPIVOTDATA("Sum of TOTAL BUYING VALUE",$D$1))</f>
        <v>0.20714012715887553</v>
      </c>
      <c r="G6" s="3" t="s">
        <v>66</v>
      </c>
      <c r="H6" s="1">
        <v>26526</v>
      </c>
      <c r="I6" s="1">
        <v>30910.45</v>
      </c>
      <c r="J6" s="1"/>
      <c r="K6" s="3" t="s">
        <v>65</v>
      </c>
      <c r="L6" s="1">
        <f t="shared" si="0"/>
        <v>26579.11</v>
      </c>
      <c r="M6" s="1">
        <f t="shared" si="1"/>
        <v>5297.1100000000006</v>
      </c>
      <c r="N6" s="5">
        <f t="shared" si="2"/>
        <v>0.24890094915891367</v>
      </c>
      <c r="P6" t="s">
        <v>7</v>
      </c>
      <c r="Q6" t="s">
        <v>56</v>
      </c>
      <c r="R6" s="1">
        <v>6056.1600000000008</v>
      </c>
      <c r="S6" s="8">
        <v>124</v>
      </c>
      <c r="U6">
        <f ca="1"/>
        <v>31</v>
      </c>
      <c r="V6" t="str">
        <f ca="1"/>
        <v>Product04</v>
      </c>
      <c r="W6" t="str">
        <f ca="1"/>
        <v>Lt</v>
      </c>
      <c r="X6" s="6">
        <f ca="1"/>
        <v>6056.1600000000008</v>
      </c>
      <c r="Y6">
        <f ca="1"/>
        <v>124</v>
      </c>
      <c r="AA6" t="str">
        <f ca="1"/>
        <v>Product24</v>
      </c>
      <c r="AB6" s="1">
        <f ca="1"/>
        <v>10202.400000000001</v>
      </c>
      <c r="AC6" s="1"/>
      <c r="AD6" s="1"/>
      <c r="AF6" s="3" t="s">
        <v>44</v>
      </c>
      <c r="AG6" s="1">
        <v>91617.19</v>
      </c>
      <c r="AH6" s="1"/>
      <c r="AI6">
        <f ca="1"/>
        <v>1</v>
      </c>
      <c r="AJ6" s="1" t="str">
        <f ca="1"/>
        <v>Category04</v>
      </c>
      <c r="AK6" s="4">
        <f ca="1"/>
        <v>95269.4</v>
      </c>
    </row>
    <row r="7" spans="1:43" x14ac:dyDescent="0.25">
      <c r="A7" s="3">
        <v>6</v>
      </c>
      <c r="B7" s="1">
        <v>14365.540000000005</v>
      </c>
      <c r="G7" s="3" t="s">
        <v>67</v>
      </c>
      <c r="H7" s="1">
        <v>24879</v>
      </c>
      <c r="I7" s="1">
        <v>30533.710000000003</v>
      </c>
      <c r="J7" s="1"/>
      <c r="K7" s="3" t="s">
        <v>66</v>
      </c>
      <c r="L7" s="1">
        <f t="shared" si="0"/>
        <v>30910.45</v>
      </c>
      <c r="M7" s="1">
        <f t="shared" si="1"/>
        <v>4384.4500000000007</v>
      </c>
      <c r="N7" s="5">
        <f t="shared" si="2"/>
        <v>0.16528877327904701</v>
      </c>
      <c r="P7" t="s">
        <v>8</v>
      </c>
      <c r="Q7" t="s">
        <v>57</v>
      </c>
      <c r="R7" s="1">
        <v>15716.61</v>
      </c>
      <c r="S7" s="8">
        <v>101</v>
      </c>
      <c r="U7">
        <f ca="1"/>
        <v>8</v>
      </c>
      <c r="V7" t="str">
        <f ca="1"/>
        <v>Product05</v>
      </c>
      <c r="W7" t="str">
        <f ca="1"/>
        <v>Ft</v>
      </c>
      <c r="X7" s="6">
        <f ca="1"/>
        <v>15716.61</v>
      </c>
      <c r="Y7">
        <f ca="1"/>
        <v>101</v>
      </c>
      <c r="AA7" t="str">
        <f ca="1"/>
        <v>Product25</v>
      </c>
      <c r="AB7" s="1">
        <f ca="1"/>
        <v>599.7600000000001</v>
      </c>
      <c r="AC7" s="1"/>
      <c r="AD7" s="1"/>
      <c r="AI7">
        <f ca="1"/>
        <v>3</v>
      </c>
      <c r="AJ7" s="1" t="str">
        <f ca="1"/>
        <v>Category05</v>
      </c>
      <c r="AK7" s="4">
        <f ca="1"/>
        <v>91617.19</v>
      </c>
    </row>
    <row r="8" spans="1:43" x14ac:dyDescent="0.25">
      <c r="A8" s="3">
        <v>7</v>
      </c>
      <c r="B8" s="1">
        <v>7132.79</v>
      </c>
      <c r="G8" s="3" t="s">
        <v>68</v>
      </c>
      <c r="H8" s="1">
        <v>29878</v>
      </c>
      <c r="I8" s="1">
        <v>35251.79</v>
      </c>
      <c r="J8" s="1"/>
      <c r="K8" s="3" t="s">
        <v>67</v>
      </c>
      <c r="L8" s="1">
        <f t="shared" si="0"/>
        <v>30533.710000000003</v>
      </c>
      <c r="M8" s="1">
        <f t="shared" si="1"/>
        <v>5654.7100000000028</v>
      </c>
      <c r="N8" s="5">
        <f t="shared" si="2"/>
        <v>0.22728847622492876</v>
      </c>
      <c r="P8" t="s">
        <v>9</v>
      </c>
      <c r="Q8" t="s">
        <v>4</v>
      </c>
      <c r="R8" s="1">
        <v>4531.5</v>
      </c>
      <c r="S8" s="8">
        <v>53</v>
      </c>
      <c r="U8">
        <f ca="1"/>
        <v>35</v>
      </c>
      <c r="V8" t="str">
        <f ca="1"/>
        <v>Product06</v>
      </c>
      <c r="W8" t="str">
        <f ca="1"/>
        <v>Kg</v>
      </c>
      <c r="X8" s="6">
        <f ca="1"/>
        <v>4531.5</v>
      </c>
      <c r="Y8">
        <f ca="1"/>
        <v>53</v>
      </c>
      <c r="AA8" t="str">
        <f ca="1"/>
        <v>Product26</v>
      </c>
      <c r="AB8" s="1">
        <f ca="1"/>
        <v>2761.9200000000005</v>
      </c>
      <c r="AC8" s="1"/>
      <c r="AD8" s="1"/>
    </row>
    <row r="9" spans="1:43" x14ac:dyDescent="0.25">
      <c r="A9" s="3">
        <v>8</v>
      </c>
      <c r="B9" s="1">
        <v>14262.46</v>
      </c>
      <c r="G9" s="3" t="s">
        <v>69</v>
      </c>
      <c r="H9" s="1">
        <v>29831</v>
      </c>
      <c r="I9" s="1">
        <v>35350.400000000016</v>
      </c>
      <c r="J9" s="1"/>
      <c r="K9" s="3" t="s">
        <v>68</v>
      </c>
      <c r="L9" s="1">
        <f t="shared" si="0"/>
        <v>35251.79</v>
      </c>
      <c r="M9" s="1">
        <f t="shared" si="1"/>
        <v>5373.7900000000009</v>
      </c>
      <c r="N9" s="5">
        <f t="shared" si="2"/>
        <v>0.1798577548698039</v>
      </c>
      <c r="P9" t="s">
        <v>10</v>
      </c>
      <c r="Q9" t="s">
        <v>56</v>
      </c>
      <c r="R9" s="1">
        <v>2291.04</v>
      </c>
      <c r="S9" s="8">
        <v>48</v>
      </c>
      <c r="U9">
        <f ca="1"/>
        <v>39</v>
      </c>
      <c r="V9" t="str">
        <f ca="1"/>
        <v>Product07</v>
      </c>
      <c r="W9" t="str">
        <f ca="1"/>
        <v>Lt</v>
      </c>
      <c r="X9" s="6">
        <f ca="1"/>
        <v>2291.04</v>
      </c>
      <c r="Y9">
        <f ca="1"/>
        <v>48</v>
      </c>
      <c r="AA9" t="str">
        <f ca="1"/>
        <v>Product27</v>
      </c>
      <c r="AB9" s="1">
        <f ca="1"/>
        <v>6226.0800000000008</v>
      </c>
      <c r="AC9" s="1"/>
      <c r="AD9" s="1"/>
    </row>
    <row r="10" spans="1:43" x14ac:dyDescent="0.25">
      <c r="A10" s="3">
        <v>9</v>
      </c>
      <c r="B10" s="1">
        <v>16824.670000000002</v>
      </c>
      <c r="G10" s="3" t="s">
        <v>70</v>
      </c>
      <c r="H10" s="1">
        <v>28758</v>
      </c>
      <c r="I10" s="1">
        <v>35242.810000000005</v>
      </c>
      <c r="J10" s="1"/>
      <c r="K10" s="3" t="s">
        <v>69</v>
      </c>
      <c r="L10" s="1">
        <f t="shared" si="0"/>
        <v>35350.400000000016</v>
      </c>
      <c r="M10" s="1">
        <f t="shared" si="1"/>
        <v>5519.400000000016</v>
      </c>
      <c r="N10" s="5">
        <f t="shared" si="2"/>
        <v>0.18502229224632147</v>
      </c>
      <c r="P10" t="s">
        <v>11</v>
      </c>
      <c r="Q10" t="s">
        <v>4</v>
      </c>
      <c r="R10" s="1">
        <v>10502.82</v>
      </c>
      <c r="S10" s="8">
        <v>111</v>
      </c>
      <c r="U10">
        <f ca="1"/>
        <v>15</v>
      </c>
      <c r="V10" t="str">
        <f ca="1"/>
        <v>Product08</v>
      </c>
      <c r="W10" t="str">
        <f ca="1"/>
        <v>Kg</v>
      </c>
      <c r="X10" s="6">
        <f ca="1"/>
        <v>10502.82</v>
      </c>
      <c r="Y10">
        <f ca="1"/>
        <v>111</v>
      </c>
      <c r="AA10" t="str">
        <f ca="1"/>
        <v>Product28</v>
      </c>
      <c r="AB10" s="1">
        <f ca="1"/>
        <v>4682.72</v>
      </c>
      <c r="AC10" s="1"/>
      <c r="AD10" s="1"/>
    </row>
    <row r="11" spans="1:43" x14ac:dyDescent="0.25">
      <c r="A11" s="3">
        <v>10</v>
      </c>
      <c r="B11" s="1">
        <v>15229.35</v>
      </c>
      <c r="G11" s="3" t="s">
        <v>71</v>
      </c>
      <c r="H11" s="1">
        <v>27842</v>
      </c>
      <c r="I11" s="1">
        <v>33500.69000000001</v>
      </c>
      <c r="J11" s="1"/>
      <c r="K11" s="3" t="s">
        <v>70</v>
      </c>
      <c r="L11" s="1">
        <f t="shared" si="0"/>
        <v>35242.810000000005</v>
      </c>
      <c r="M11" s="1">
        <f t="shared" si="1"/>
        <v>6484.8100000000049</v>
      </c>
      <c r="N11" s="5">
        <f t="shared" si="2"/>
        <v>0.22549586202100302</v>
      </c>
      <c r="P11" t="s">
        <v>12</v>
      </c>
      <c r="Q11" t="s">
        <v>58</v>
      </c>
      <c r="R11" s="1">
        <v>581.64</v>
      </c>
      <c r="S11" s="8">
        <v>74</v>
      </c>
      <c r="U11">
        <f ca="1"/>
        <v>44</v>
      </c>
      <c r="V11" t="str">
        <f ca="1"/>
        <v>Product09</v>
      </c>
      <c r="W11" t="str">
        <f ca="1"/>
        <v>No.</v>
      </c>
      <c r="X11" s="6">
        <f ca="1"/>
        <v>581.64</v>
      </c>
      <c r="Y11">
        <f ca="1"/>
        <v>74</v>
      </c>
      <c r="AA11" t="str">
        <f ca="1"/>
        <v>Product29</v>
      </c>
      <c r="AB11" s="1">
        <f ca="1"/>
        <v>5523.44</v>
      </c>
      <c r="AC11" s="1"/>
      <c r="AD11" s="1"/>
    </row>
    <row r="12" spans="1:43" x14ac:dyDescent="0.25">
      <c r="A12" s="3">
        <v>11</v>
      </c>
      <c r="B12" s="1">
        <v>11915.58</v>
      </c>
      <c r="G12" s="3" t="s">
        <v>72</v>
      </c>
      <c r="H12" s="1">
        <v>29306</v>
      </c>
      <c r="I12" s="1">
        <v>36124.07</v>
      </c>
      <c r="J12" s="1"/>
      <c r="K12" s="3" t="s">
        <v>71</v>
      </c>
      <c r="L12" s="1">
        <f t="shared" si="0"/>
        <v>33500.69000000001</v>
      </c>
      <c r="M12" s="1">
        <f t="shared" si="1"/>
        <v>5658.6900000000096</v>
      </c>
      <c r="N12" s="5">
        <f t="shared" si="2"/>
        <v>0.20324294231736259</v>
      </c>
      <c r="P12" t="s">
        <v>13</v>
      </c>
      <c r="Q12" t="s">
        <v>57</v>
      </c>
      <c r="R12" s="1">
        <v>16428</v>
      </c>
      <c r="S12" s="8">
        <v>100</v>
      </c>
      <c r="U12">
        <f ca="1"/>
        <v>5</v>
      </c>
      <c r="V12" t="str">
        <f ca="1"/>
        <v>Product10</v>
      </c>
      <c r="W12" t="str">
        <f ca="1"/>
        <v>Ft</v>
      </c>
      <c r="X12" s="6">
        <f ca="1"/>
        <v>16428</v>
      </c>
      <c r="Y12">
        <f ca="1"/>
        <v>100</v>
      </c>
      <c r="AA12" t="str">
        <f ca="1"/>
        <v>Product30</v>
      </c>
      <c r="AB12" s="1">
        <f ca="1"/>
        <v>22945.919999999998</v>
      </c>
      <c r="AC12" s="1"/>
      <c r="AD12" s="1"/>
    </row>
    <row r="13" spans="1:43" x14ac:dyDescent="0.25">
      <c r="A13" s="3">
        <v>12</v>
      </c>
      <c r="B13" s="1">
        <v>14837.359999999999</v>
      </c>
      <c r="G13" s="3" t="s">
        <v>73</v>
      </c>
      <c r="H13" s="1">
        <v>31134</v>
      </c>
      <c r="I13" s="1">
        <v>37097.979999999996</v>
      </c>
      <c r="J13" s="1"/>
      <c r="K13" s="3" t="s">
        <v>72</v>
      </c>
      <c r="L13" s="1">
        <f t="shared" si="0"/>
        <v>36124.07</v>
      </c>
      <c r="M13" s="1">
        <f t="shared" si="1"/>
        <v>6818.07</v>
      </c>
      <c r="N13" s="5">
        <f t="shared" si="2"/>
        <v>0.2326509929707227</v>
      </c>
      <c r="P13" t="s">
        <v>15</v>
      </c>
      <c r="Q13" t="s">
        <v>56</v>
      </c>
      <c r="R13" s="1">
        <v>6195.2</v>
      </c>
      <c r="S13" s="8">
        <v>128</v>
      </c>
      <c r="U13">
        <f ca="1"/>
        <v>29</v>
      </c>
      <c r="V13" t="str">
        <f ca="1"/>
        <v>Product11</v>
      </c>
      <c r="W13" t="str">
        <f ca="1"/>
        <v>Lt</v>
      </c>
      <c r="X13" s="6">
        <f ca="1"/>
        <v>6195.2</v>
      </c>
      <c r="Y13">
        <f ca="1"/>
        <v>128</v>
      </c>
    </row>
    <row r="14" spans="1:43" x14ac:dyDescent="0.25">
      <c r="A14" s="3">
        <v>13</v>
      </c>
      <c r="B14" s="1">
        <v>8084.26</v>
      </c>
      <c r="K14" s="3" t="s">
        <v>73</v>
      </c>
      <c r="L14" s="1">
        <f t="shared" si="0"/>
        <v>37097.979999999996</v>
      </c>
      <c r="M14" s="1">
        <f t="shared" si="1"/>
        <v>5963.9799999999959</v>
      </c>
      <c r="N14" s="5">
        <f t="shared" si="2"/>
        <v>0.19155842487312894</v>
      </c>
      <c r="P14" t="s">
        <v>16</v>
      </c>
      <c r="Q14" t="s">
        <v>4</v>
      </c>
      <c r="R14" s="1">
        <v>11582.910000000003</v>
      </c>
      <c r="S14" s="8">
        <v>123</v>
      </c>
      <c r="U14">
        <f ca="1"/>
        <v>13</v>
      </c>
      <c r="V14" t="str">
        <f ca="1"/>
        <v>Product12</v>
      </c>
      <c r="W14" t="str">
        <f ca="1"/>
        <v>Kg</v>
      </c>
      <c r="X14" s="6">
        <f ca="1"/>
        <v>11582.910000000003</v>
      </c>
      <c r="Y14">
        <f ca="1"/>
        <v>123</v>
      </c>
    </row>
    <row r="15" spans="1:43" x14ac:dyDescent="0.25">
      <c r="A15" s="3">
        <v>14</v>
      </c>
      <c r="B15" s="1">
        <v>9461.1400000000012</v>
      </c>
      <c r="J15" t="s">
        <v>81</v>
      </c>
      <c r="P15" t="s">
        <v>17</v>
      </c>
      <c r="Q15" t="s">
        <v>4</v>
      </c>
      <c r="R15" s="1">
        <v>8423.52</v>
      </c>
      <c r="S15" s="8">
        <v>69</v>
      </c>
      <c r="U15">
        <f ca="1"/>
        <v>22</v>
      </c>
      <c r="V15" t="str">
        <f ca="1"/>
        <v>Product13</v>
      </c>
      <c r="W15" t="str">
        <f ca="1"/>
        <v>Kg</v>
      </c>
      <c r="X15" s="6">
        <f ca="1"/>
        <v>8423.52</v>
      </c>
      <c r="Y15">
        <f ca="1"/>
        <v>69</v>
      </c>
    </row>
    <row r="16" spans="1:43" x14ac:dyDescent="0.25">
      <c r="A16" s="3">
        <v>15</v>
      </c>
      <c r="B16" s="1">
        <v>12189.7</v>
      </c>
      <c r="P16" t="s">
        <v>18</v>
      </c>
      <c r="Q16" t="s">
        <v>4</v>
      </c>
      <c r="R16" s="1">
        <v>12764.640000000001</v>
      </c>
      <c r="S16" s="8">
        <v>87</v>
      </c>
      <c r="U16">
        <f ca="1"/>
        <v>12</v>
      </c>
      <c r="V16" t="str">
        <f ca="1"/>
        <v>Product14</v>
      </c>
      <c r="W16" t="str">
        <f ca="1"/>
        <v>Kg</v>
      </c>
      <c r="X16" s="6">
        <f ca="1"/>
        <v>12764.640000000001</v>
      </c>
      <c r="Y16">
        <f ca="1"/>
        <v>87</v>
      </c>
    </row>
    <row r="17" spans="1:25" x14ac:dyDescent="0.25">
      <c r="A17" s="3">
        <v>16</v>
      </c>
      <c r="B17" s="1">
        <v>12762.63</v>
      </c>
      <c r="P17" t="s">
        <v>19</v>
      </c>
      <c r="Q17" t="s">
        <v>58</v>
      </c>
      <c r="R17" s="1">
        <v>1839.2399999999998</v>
      </c>
      <c r="S17" s="8">
        <v>117</v>
      </c>
      <c r="U17">
        <f ca="1"/>
        <v>41</v>
      </c>
      <c r="V17" t="str">
        <f ca="1"/>
        <v>Product15</v>
      </c>
      <c r="W17" t="str">
        <f ca="1"/>
        <v>No.</v>
      </c>
      <c r="X17" s="6">
        <f ca="1"/>
        <v>1839.2399999999998</v>
      </c>
      <c r="Y17">
        <f ca="1"/>
        <v>117</v>
      </c>
    </row>
    <row r="18" spans="1:25" x14ac:dyDescent="0.25">
      <c r="A18" s="3">
        <v>17</v>
      </c>
      <c r="B18" s="1">
        <v>3659.24</v>
      </c>
      <c r="P18" t="s">
        <v>20</v>
      </c>
      <c r="Q18" t="s">
        <v>58</v>
      </c>
      <c r="R18" s="1">
        <v>1996.8</v>
      </c>
      <c r="S18" s="8">
        <v>120</v>
      </c>
      <c r="U18">
        <f ca="1"/>
        <v>40</v>
      </c>
      <c r="V18" t="str">
        <f ca="1"/>
        <v>Product16</v>
      </c>
      <c r="W18" t="str">
        <f ca="1"/>
        <v>No.</v>
      </c>
      <c r="X18" s="6">
        <f ca="1"/>
        <v>1996.8</v>
      </c>
      <c r="Y18">
        <f ca="1"/>
        <v>120</v>
      </c>
    </row>
    <row r="19" spans="1:25" x14ac:dyDescent="0.25">
      <c r="A19" s="3">
        <v>18</v>
      </c>
      <c r="B19" s="1">
        <v>18582.390000000003</v>
      </c>
      <c r="P19" t="s">
        <v>21</v>
      </c>
      <c r="Q19" t="s">
        <v>57</v>
      </c>
      <c r="R19" s="1">
        <v>9877.1400000000012</v>
      </c>
      <c r="S19" s="8">
        <v>63</v>
      </c>
      <c r="U19">
        <f ca="1"/>
        <v>18</v>
      </c>
      <c r="V19" t="str">
        <f ca="1"/>
        <v>Product17</v>
      </c>
      <c r="W19" t="str">
        <f ca="1"/>
        <v>Ft</v>
      </c>
      <c r="X19" s="6">
        <f ca="1"/>
        <v>9877.1400000000012</v>
      </c>
      <c r="Y19">
        <f ca="1"/>
        <v>63</v>
      </c>
    </row>
    <row r="20" spans="1:25" x14ac:dyDescent="0.25">
      <c r="A20" s="3">
        <v>19</v>
      </c>
      <c r="B20" s="1">
        <v>10204.229999999998</v>
      </c>
      <c r="P20" t="s">
        <v>22</v>
      </c>
      <c r="Q20" t="s">
        <v>58</v>
      </c>
      <c r="R20" s="1">
        <v>4035.2200000000003</v>
      </c>
      <c r="S20" s="8">
        <v>82</v>
      </c>
      <c r="U20">
        <f ca="1"/>
        <v>36</v>
      </c>
      <c r="V20" t="str">
        <f ca="1"/>
        <v>Product18</v>
      </c>
      <c r="W20" t="str">
        <f ca="1"/>
        <v>No.</v>
      </c>
      <c r="X20" s="6">
        <f ca="1"/>
        <v>4035.2200000000003</v>
      </c>
      <c r="Y20">
        <f ca="1"/>
        <v>82</v>
      </c>
    </row>
    <row r="21" spans="1:25" x14ac:dyDescent="0.25">
      <c r="A21" s="3">
        <v>20</v>
      </c>
      <c r="B21" s="1">
        <v>20482.78</v>
      </c>
      <c r="P21" t="s">
        <v>23</v>
      </c>
      <c r="Q21" t="s">
        <v>57</v>
      </c>
      <c r="R21" s="1">
        <v>20160</v>
      </c>
      <c r="S21" s="8">
        <v>96</v>
      </c>
      <c r="U21">
        <f ca="1"/>
        <v>4</v>
      </c>
      <c r="V21" t="str">
        <f ca="1"/>
        <v>Product19</v>
      </c>
      <c r="W21" t="str">
        <f ca="1"/>
        <v>Ft</v>
      </c>
      <c r="X21" s="6">
        <f ca="1"/>
        <v>20160</v>
      </c>
      <c r="Y21">
        <f ca="1"/>
        <v>96</v>
      </c>
    </row>
    <row r="22" spans="1:25" x14ac:dyDescent="0.25">
      <c r="A22" s="3">
        <v>21</v>
      </c>
      <c r="B22" s="1">
        <v>10665.4</v>
      </c>
      <c r="P22" t="s">
        <v>24</v>
      </c>
      <c r="Q22" t="s">
        <v>56</v>
      </c>
      <c r="R22" s="1">
        <v>8006.25</v>
      </c>
      <c r="S22" s="8">
        <v>105</v>
      </c>
      <c r="U22">
        <f ca="1"/>
        <v>23</v>
      </c>
      <c r="V22" t="str">
        <f ca="1"/>
        <v>Product20</v>
      </c>
      <c r="W22" t="str">
        <f ca="1"/>
        <v>Lt</v>
      </c>
      <c r="X22" s="6">
        <f ca="1"/>
        <v>8006.25</v>
      </c>
      <c r="Y22">
        <f ca="1"/>
        <v>105</v>
      </c>
    </row>
    <row r="23" spans="1:25" x14ac:dyDescent="0.25">
      <c r="A23" s="3">
        <v>22</v>
      </c>
      <c r="B23" s="1">
        <v>11315.839999999997</v>
      </c>
      <c r="P23" t="s">
        <v>26</v>
      </c>
      <c r="Q23" t="s">
        <v>57</v>
      </c>
      <c r="R23" s="1">
        <v>10727.64</v>
      </c>
      <c r="S23" s="8">
        <v>66</v>
      </c>
      <c r="U23">
        <f ca="1"/>
        <v>14</v>
      </c>
      <c r="V23" t="str">
        <f ca="1"/>
        <v>Product21</v>
      </c>
      <c r="W23" t="str">
        <f ca="1"/>
        <v>Ft</v>
      </c>
      <c r="X23" s="6">
        <f ca="1"/>
        <v>10727.64</v>
      </c>
      <c r="Y23">
        <f ca="1"/>
        <v>66</v>
      </c>
    </row>
    <row r="24" spans="1:25" x14ac:dyDescent="0.25">
      <c r="A24" s="3">
        <v>23</v>
      </c>
      <c r="B24" s="1">
        <v>18818.189999999999</v>
      </c>
      <c r="P24" t="s">
        <v>27</v>
      </c>
      <c r="Q24" t="s">
        <v>57</v>
      </c>
      <c r="R24" s="1">
        <v>9909.9</v>
      </c>
      <c r="S24" s="8">
        <v>70</v>
      </c>
      <c r="U24">
        <f ca="1"/>
        <v>17</v>
      </c>
      <c r="V24" t="str">
        <f ca="1"/>
        <v>Product22</v>
      </c>
      <c r="W24" t="str">
        <f ca="1"/>
        <v>Ft</v>
      </c>
      <c r="X24" s="6">
        <f ca="1"/>
        <v>9909.9</v>
      </c>
      <c r="Y24">
        <f ca="1"/>
        <v>70</v>
      </c>
    </row>
    <row r="25" spans="1:25" x14ac:dyDescent="0.25">
      <c r="A25" s="3">
        <v>24</v>
      </c>
      <c r="B25" s="1">
        <v>11488.4</v>
      </c>
      <c r="P25" t="s">
        <v>28</v>
      </c>
      <c r="Q25" t="s">
        <v>57</v>
      </c>
      <c r="R25" s="1">
        <v>12853.560000000001</v>
      </c>
      <c r="S25" s="8">
        <v>86</v>
      </c>
      <c r="U25">
        <f ca="1"/>
        <v>11</v>
      </c>
      <c r="V25" t="str">
        <f ca="1"/>
        <v>Product23</v>
      </c>
      <c r="W25" t="str">
        <f ca="1"/>
        <v>Ft</v>
      </c>
      <c r="X25" s="6">
        <f ca="1"/>
        <v>12853.560000000001</v>
      </c>
      <c r="Y25">
        <f ca="1"/>
        <v>86</v>
      </c>
    </row>
    <row r="26" spans="1:25" x14ac:dyDescent="0.25">
      <c r="A26" s="3">
        <v>25</v>
      </c>
      <c r="B26" s="1">
        <v>18688.430000000004</v>
      </c>
      <c r="P26" t="s">
        <v>29</v>
      </c>
      <c r="Q26" t="s">
        <v>57</v>
      </c>
      <c r="R26" s="1">
        <v>10202.400000000001</v>
      </c>
      <c r="S26" s="8">
        <v>65</v>
      </c>
      <c r="U26">
        <f ca="1"/>
        <v>16</v>
      </c>
      <c r="V26" t="str">
        <f ca="1"/>
        <v>Product24</v>
      </c>
      <c r="W26" t="str">
        <f ca="1"/>
        <v>Ft</v>
      </c>
      <c r="X26" s="6">
        <f ca="1"/>
        <v>10202.400000000001</v>
      </c>
      <c r="Y26">
        <f ca="1"/>
        <v>65</v>
      </c>
    </row>
    <row r="27" spans="1:25" x14ac:dyDescent="0.25">
      <c r="A27" s="3">
        <v>26</v>
      </c>
      <c r="B27" s="1">
        <v>13710.079999999998</v>
      </c>
      <c r="P27" t="s">
        <v>30</v>
      </c>
      <c r="Q27" t="s">
        <v>58</v>
      </c>
      <c r="R27" s="1">
        <v>599.7600000000001</v>
      </c>
      <c r="S27" s="8">
        <v>72</v>
      </c>
      <c r="U27">
        <f ca="1"/>
        <v>43</v>
      </c>
      <c r="V27" t="str">
        <f ca="1"/>
        <v>Product25</v>
      </c>
      <c r="W27" t="str">
        <f ca="1"/>
        <v>No.</v>
      </c>
      <c r="X27" s="6">
        <f ca="1"/>
        <v>599.7600000000001</v>
      </c>
      <c r="Y27">
        <f ca="1"/>
        <v>72</v>
      </c>
    </row>
    <row r="28" spans="1:25" x14ac:dyDescent="0.25">
      <c r="A28" s="3">
        <v>27</v>
      </c>
      <c r="B28" s="1">
        <v>11440.67</v>
      </c>
      <c r="P28" t="s">
        <v>31</v>
      </c>
      <c r="Q28" t="s">
        <v>58</v>
      </c>
      <c r="R28" s="1">
        <v>2761.9200000000005</v>
      </c>
      <c r="S28" s="8">
        <v>112</v>
      </c>
      <c r="U28">
        <f ca="1"/>
        <v>38</v>
      </c>
      <c r="V28" t="str">
        <f ca="1"/>
        <v>Product26</v>
      </c>
      <c r="W28" t="str">
        <f ca="1"/>
        <v>No.</v>
      </c>
      <c r="X28" s="6">
        <f ca="1"/>
        <v>2761.9200000000005</v>
      </c>
      <c r="Y28">
        <f ca="1"/>
        <v>112</v>
      </c>
    </row>
    <row r="29" spans="1:25" x14ac:dyDescent="0.25">
      <c r="A29" s="3">
        <v>28</v>
      </c>
      <c r="B29" s="1">
        <v>13306.16</v>
      </c>
      <c r="P29" t="s">
        <v>33</v>
      </c>
      <c r="Q29" t="s">
        <v>56</v>
      </c>
      <c r="R29" s="1">
        <v>6226.0800000000008</v>
      </c>
      <c r="S29" s="8">
        <v>109</v>
      </c>
      <c r="U29">
        <f ca="1"/>
        <v>28</v>
      </c>
      <c r="V29" t="str">
        <f ca="1"/>
        <v>Product27</v>
      </c>
      <c r="W29" t="str">
        <f ca="1"/>
        <v>Lt</v>
      </c>
      <c r="X29" s="6">
        <f ca="1"/>
        <v>6226.0800000000008</v>
      </c>
      <c r="Y29">
        <f ca="1"/>
        <v>109</v>
      </c>
    </row>
    <row r="30" spans="1:25" x14ac:dyDescent="0.25">
      <c r="A30" s="3">
        <v>29</v>
      </c>
      <c r="B30" s="1">
        <v>8794.48</v>
      </c>
      <c r="P30" t="s">
        <v>34</v>
      </c>
      <c r="Q30" t="s">
        <v>58</v>
      </c>
      <c r="R30" s="1">
        <v>4682.72</v>
      </c>
      <c r="S30" s="8">
        <v>112</v>
      </c>
      <c r="U30">
        <f ca="1"/>
        <v>34</v>
      </c>
      <c r="V30" t="str">
        <f ca="1"/>
        <v>Product28</v>
      </c>
      <c r="W30" t="str">
        <f ca="1"/>
        <v>No.</v>
      </c>
      <c r="X30" s="6">
        <f ca="1"/>
        <v>4682.72</v>
      </c>
      <c r="Y30">
        <f ca="1"/>
        <v>112</v>
      </c>
    </row>
    <row r="31" spans="1:25" x14ac:dyDescent="0.25">
      <c r="A31" s="3">
        <v>30</v>
      </c>
      <c r="B31" s="1">
        <v>16666.269999999997</v>
      </c>
      <c r="P31" t="s">
        <v>35</v>
      </c>
      <c r="Q31" t="s">
        <v>56</v>
      </c>
      <c r="R31" s="1">
        <v>5523.44</v>
      </c>
      <c r="S31" s="8">
        <v>104</v>
      </c>
      <c r="U31">
        <f ca="1"/>
        <v>32</v>
      </c>
      <c r="V31" t="str">
        <f ca="1"/>
        <v>Product29</v>
      </c>
      <c r="W31" t="str">
        <f ca="1"/>
        <v>Lt</v>
      </c>
      <c r="X31" s="6">
        <f ca="1"/>
        <v>5523.44</v>
      </c>
      <c r="Y31">
        <f ca="1"/>
        <v>104</v>
      </c>
    </row>
    <row r="32" spans="1:25" x14ac:dyDescent="0.25">
      <c r="A32" s="3">
        <v>31</v>
      </c>
      <c r="B32" s="1">
        <v>6920.0999999999995</v>
      </c>
      <c r="P32" t="s">
        <v>36</v>
      </c>
      <c r="Q32" t="s">
        <v>57</v>
      </c>
      <c r="R32" s="1">
        <v>22945.919999999998</v>
      </c>
      <c r="S32" s="8">
        <v>114</v>
      </c>
      <c r="U32">
        <f ca="1"/>
        <v>2</v>
      </c>
      <c r="V32" t="str">
        <f ca="1"/>
        <v>Product30</v>
      </c>
      <c r="W32" t="str">
        <f ca="1"/>
        <v>Ft</v>
      </c>
      <c r="X32" s="6">
        <f ca="1"/>
        <v>22945.919999999998</v>
      </c>
      <c r="Y32">
        <f ca="1"/>
        <v>114</v>
      </c>
    </row>
    <row r="33" spans="1:25" x14ac:dyDescent="0.25">
      <c r="A33" s="7">
        <v>1</v>
      </c>
      <c r="B33" s="1">
        <v>338.8</v>
      </c>
      <c r="P33" t="s">
        <v>37</v>
      </c>
      <c r="Q33" t="s">
        <v>4</v>
      </c>
      <c r="R33" s="1">
        <v>6249.5999999999995</v>
      </c>
      <c r="S33" s="8">
        <v>60</v>
      </c>
      <c r="U33">
        <f ca="1"/>
        <v>27</v>
      </c>
      <c r="V33" t="str">
        <f ca="1"/>
        <v>Product31</v>
      </c>
      <c r="W33" t="str">
        <f ca="1"/>
        <v>Kg</v>
      </c>
      <c r="X33" s="6">
        <f ca="1"/>
        <v>6249.5999999999995</v>
      </c>
      <c r="Y33">
        <f ca="1"/>
        <v>60</v>
      </c>
    </row>
    <row r="34" spans="1:25" x14ac:dyDescent="0.25">
      <c r="P34" t="s">
        <v>38</v>
      </c>
      <c r="Q34" t="s">
        <v>4</v>
      </c>
      <c r="R34" s="1">
        <v>16329.72</v>
      </c>
      <c r="S34" s="8">
        <v>139</v>
      </c>
      <c r="U34">
        <f ca="1"/>
        <v>7</v>
      </c>
      <c r="V34" t="str">
        <f ca="1"/>
        <v>Product32</v>
      </c>
      <c r="W34" t="str">
        <f ca="1"/>
        <v>Kg</v>
      </c>
      <c r="X34" s="6">
        <f ca="1"/>
        <v>16329.72</v>
      </c>
      <c r="Y34">
        <f ca="1"/>
        <v>139</v>
      </c>
    </row>
    <row r="35" spans="1:25" x14ac:dyDescent="0.25">
      <c r="P35" t="s">
        <v>39</v>
      </c>
      <c r="Q35" t="s">
        <v>4</v>
      </c>
      <c r="R35" s="1">
        <v>13645.800000000001</v>
      </c>
      <c r="S35" s="8">
        <v>114</v>
      </c>
      <c r="U35">
        <f ca="1"/>
        <v>9</v>
      </c>
      <c r="V35" t="str">
        <f ca="1"/>
        <v>Product33</v>
      </c>
      <c r="W35" t="str">
        <f ca="1"/>
        <v>Kg</v>
      </c>
      <c r="X35" s="6">
        <f ca="1"/>
        <v>13645.800000000001</v>
      </c>
      <c r="Y35">
        <f ca="1"/>
        <v>114</v>
      </c>
    </row>
    <row r="36" spans="1:25" x14ac:dyDescent="0.25">
      <c r="P36" t="s">
        <v>40</v>
      </c>
      <c r="Q36" t="s">
        <v>56</v>
      </c>
      <c r="R36" s="1">
        <v>8978.2000000000007</v>
      </c>
      <c r="S36" s="8">
        <v>154</v>
      </c>
      <c r="U36">
        <f ca="1"/>
        <v>20</v>
      </c>
      <c r="V36" t="str">
        <f ca="1"/>
        <v>Product34</v>
      </c>
      <c r="W36" t="str">
        <f ca="1"/>
        <v>Lt</v>
      </c>
      <c r="X36" s="6">
        <f ca="1"/>
        <v>8978.2000000000007</v>
      </c>
      <c r="Y36">
        <f ca="1"/>
        <v>154</v>
      </c>
    </row>
    <row r="37" spans="1:25" x14ac:dyDescent="0.25">
      <c r="P37" t="s">
        <v>41</v>
      </c>
      <c r="Q37" t="s">
        <v>58</v>
      </c>
      <c r="R37" s="1">
        <v>703.5</v>
      </c>
      <c r="S37" s="8">
        <v>105</v>
      </c>
      <c r="U37">
        <f ca="1"/>
        <v>42</v>
      </c>
      <c r="V37" t="str">
        <f ca="1"/>
        <v>Product35</v>
      </c>
      <c r="W37" t="str">
        <f ca="1"/>
        <v>No.</v>
      </c>
      <c r="X37" s="6">
        <f ca="1"/>
        <v>703.5</v>
      </c>
      <c r="Y37">
        <f ca="1"/>
        <v>105</v>
      </c>
    </row>
    <row r="38" spans="1:25" x14ac:dyDescent="0.25">
      <c r="P38" t="s">
        <v>42</v>
      </c>
      <c r="Q38" t="s">
        <v>4</v>
      </c>
      <c r="R38" s="1">
        <v>7222.5</v>
      </c>
      <c r="S38" s="8">
        <v>75</v>
      </c>
      <c r="U38">
        <f ca="1"/>
        <v>25</v>
      </c>
      <c r="V38" t="str">
        <f ca="1"/>
        <v>Product36</v>
      </c>
      <c r="W38" t="str">
        <f ca="1"/>
        <v>Kg</v>
      </c>
      <c r="X38" s="6">
        <f ca="1"/>
        <v>7222.5</v>
      </c>
      <c r="Y38">
        <f ca="1"/>
        <v>75</v>
      </c>
    </row>
    <row r="39" spans="1:25" x14ac:dyDescent="0.25">
      <c r="P39" t="s">
        <v>43</v>
      </c>
      <c r="Q39" t="s">
        <v>4</v>
      </c>
      <c r="R39" s="1">
        <v>5145.6000000000004</v>
      </c>
      <c r="S39" s="8">
        <v>60</v>
      </c>
      <c r="U39">
        <f ca="1"/>
        <v>33</v>
      </c>
      <c r="V39" t="str">
        <f ca="1"/>
        <v>Product37</v>
      </c>
      <c r="W39" t="str">
        <f ca="1"/>
        <v>Kg</v>
      </c>
      <c r="X39" s="6">
        <f ca="1"/>
        <v>5145.6000000000004</v>
      </c>
      <c r="Y39">
        <f ca="1"/>
        <v>60</v>
      </c>
    </row>
    <row r="40" spans="1:25" x14ac:dyDescent="0.25">
      <c r="P40" t="s">
        <v>45</v>
      </c>
      <c r="Q40" t="s">
        <v>4</v>
      </c>
      <c r="R40" s="1">
        <v>8871.1200000000008</v>
      </c>
      <c r="S40" s="8">
        <v>111</v>
      </c>
      <c r="U40">
        <f ca="1"/>
        <v>21</v>
      </c>
      <c r="V40" t="str">
        <f ca="1"/>
        <v>Product38</v>
      </c>
      <c r="W40" t="str">
        <f ca="1"/>
        <v>Kg</v>
      </c>
      <c r="X40" s="6">
        <f ca="1"/>
        <v>8871.1200000000008</v>
      </c>
      <c r="Y40">
        <f ca="1"/>
        <v>111</v>
      </c>
    </row>
    <row r="41" spans="1:25" x14ac:dyDescent="0.25">
      <c r="P41" t="s">
        <v>46</v>
      </c>
      <c r="Q41" t="s">
        <v>58</v>
      </c>
      <c r="R41" s="1">
        <v>3957.15</v>
      </c>
      <c r="S41" s="8">
        <v>93</v>
      </c>
      <c r="U41">
        <f ca="1"/>
        <v>37</v>
      </c>
      <c r="V41" t="str">
        <f ca="1"/>
        <v>Product39</v>
      </c>
      <c r="W41" t="str">
        <f ca="1"/>
        <v>No.</v>
      </c>
      <c r="X41" s="6">
        <f ca="1"/>
        <v>3957.15</v>
      </c>
      <c r="Y41">
        <f ca="1"/>
        <v>93</v>
      </c>
    </row>
    <row r="42" spans="1:25" x14ac:dyDescent="0.25">
      <c r="P42" t="s">
        <v>47</v>
      </c>
      <c r="Q42" t="s">
        <v>4</v>
      </c>
      <c r="R42" s="1">
        <v>7718.4000000000005</v>
      </c>
      <c r="S42" s="8">
        <v>67</v>
      </c>
      <c r="U42">
        <f ca="1"/>
        <v>24</v>
      </c>
      <c r="V42" t="str">
        <f ca="1"/>
        <v>Product40</v>
      </c>
      <c r="W42" t="str">
        <f ca="1"/>
        <v>Kg</v>
      </c>
      <c r="X42" s="6">
        <f ca="1"/>
        <v>7718.4000000000005</v>
      </c>
      <c r="Y42">
        <f ca="1"/>
        <v>67</v>
      </c>
    </row>
    <row r="43" spans="1:25" x14ac:dyDescent="0.25">
      <c r="P43" t="s">
        <v>48</v>
      </c>
      <c r="Q43" t="s">
        <v>57</v>
      </c>
      <c r="R43" s="1">
        <v>22952.16</v>
      </c>
      <c r="S43" s="8">
        <v>132</v>
      </c>
      <c r="U43">
        <f ca="1"/>
        <v>1</v>
      </c>
      <c r="V43" t="str">
        <f ca="1"/>
        <v>Product41</v>
      </c>
      <c r="W43" t="str">
        <f ca="1"/>
        <v>Ft</v>
      </c>
      <c r="X43" s="6">
        <f ca="1"/>
        <v>22952.16</v>
      </c>
      <c r="Y43">
        <f ca="1"/>
        <v>132</v>
      </c>
    </row>
    <row r="44" spans="1:25" x14ac:dyDescent="0.25">
      <c r="P44" t="s">
        <v>49</v>
      </c>
      <c r="Q44" t="s">
        <v>57</v>
      </c>
      <c r="R44" s="1">
        <v>20574</v>
      </c>
      <c r="S44" s="8">
        <v>127</v>
      </c>
      <c r="U44">
        <f ca="1"/>
        <v>3</v>
      </c>
      <c r="V44" t="str">
        <f ca="1"/>
        <v>Product42</v>
      </c>
      <c r="W44" t="str">
        <f ca="1"/>
        <v>Ft</v>
      </c>
      <c r="X44" s="6">
        <f ca="1"/>
        <v>20574</v>
      </c>
      <c r="Y44">
        <f ca="1"/>
        <v>127</v>
      </c>
    </row>
    <row r="45" spans="1:25" x14ac:dyDescent="0.25">
      <c r="P45" t="s">
        <v>50</v>
      </c>
      <c r="Q45" t="s">
        <v>4</v>
      </c>
      <c r="R45" s="1">
        <v>6064.8399999999992</v>
      </c>
      <c r="S45" s="8">
        <v>73</v>
      </c>
      <c r="U45">
        <f ca="1"/>
        <v>30</v>
      </c>
      <c r="V45" t="str">
        <f ca="1"/>
        <v>Product43</v>
      </c>
      <c r="W45" t="str">
        <f ca="1"/>
        <v>Kg</v>
      </c>
      <c r="X45" s="6">
        <f ca="1"/>
        <v>6064.8399999999992</v>
      </c>
      <c r="Y45">
        <f ca="1"/>
        <v>73</v>
      </c>
    </row>
    <row r="46" spans="1:25" x14ac:dyDescent="0.25">
      <c r="P46" t="s">
        <v>51</v>
      </c>
      <c r="Q46" t="s">
        <v>4</v>
      </c>
      <c r="R46" s="1">
        <v>16333.92</v>
      </c>
      <c r="S46" s="8">
        <v>199</v>
      </c>
      <c r="U46">
        <f ca="1"/>
        <v>6</v>
      </c>
      <c r="V46" t="str">
        <f ca="1"/>
        <v>Product44</v>
      </c>
      <c r="W46" t="str">
        <f ca="1"/>
        <v>Kg</v>
      </c>
      <c r="X46" s="6">
        <f ca="1"/>
        <v>16333.92</v>
      </c>
      <c r="Y46">
        <f ca="1"/>
        <v>199</v>
      </c>
    </row>
  </sheetData>
  <pageMargins left="0.7" right="0.7" top="0.75" bottom="0.75" header="0.3" footer="0.3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10" name="Scroll Bar 8">
              <controlPr defaultSize="0" autoPict="0">
                <anchor moveWithCells="1">
                  <from>
                    <xdr:col>25</xdr:col>
                    <xdr:colOff>228600</xdr:colOff>
                    <xdr:row>12</xdr:row>
                    <xdr:rowOff>152400</xdr:rowOff>
                  </from>
                  <to>
                    <xdr:col>25</xdr:col>
                    <xdr:colOff>476250</xdr:colOff>
                    <xdr:row>26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14591-BA33-45AF-94E3-E92EA01F1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Darmawan Fabian Budi</cp:lastModifiedBy>
  <dcterms:created xsi:type="dcterms:W3CDTF">2021-11-03T11:40:02Z</dcterms:created>
  <dcterms:modified xsi:type="dcterms:W3CDTF">2025-11-10T15:24:21Z</dcterms:modified>
</cp:coreProperties>
</file>